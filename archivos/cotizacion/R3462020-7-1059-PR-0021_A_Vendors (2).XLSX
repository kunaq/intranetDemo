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lim-fs01\Proyectos$\1059 Toquepala 3rd Wet Vibrating Screen\6.Compras\G. RFQ\PR-0021 Liners\"/>
    </mc:Choice>
  </mc:AlternateContent>
  <bookViews>
    <workbookView xWindow="0" yWindow="0" windowWidth="17295" windowHeight="8205" tabRatio="734" firstSheet="1" activeTab="1"/>
  </bookViews>
  <sheets>
    <sheet name="INSTRUCCIONES" sheetId="5" state="hidden" r:id="rId1"/>
    <sheet name="RFQ" sheetId="1" r:id="rId2"/>
    <sheet name="ADJUNTOS" sheetId="3" r:id="rId3"/>
    <sheet name="VDR" sheetId="4" r:id="rId4"/>
    <sheet name="Cuenta de Cargo" sheetId="6" state="hidden" r:id="rId5"/>
  </sheets>
  <definedNames>
    <definedName name="_xlnm._FilterDatabase" localSheetId="1" hidden="1">RFQ!$B$19:$I$25</definedName>
    <definedName name="Check1" localSheetId="1">RFQ!#REF!</definedName>
    <definedName name="Check5" localSheetId="1">RFQ!$E$40</definedName>
    <definedName name="CUENTA">'Cuenta de Cargo'!$B$5:$B$79</definedName>
    <definedName name="_xlnm.Print_Area" localSheetId="1">RFQ!$A$1:$J$47</definedName>
    <definedName name="SAASA">INSTRUCCIONES!$B$6:$B$11</definedName>
    <definedName name="Text22" localSheetId="1">RFQ!#REF!</definedName>
    <definedName name="Text60" localSheetId="1">RFQ!$F$30</definedName>
  </definedNames>
  <calcPr calcId="171027"/>
</workbook>
</file>

<file path=xl/calcChain.xml><?xml version="1.0" encoding="utf-8"?>
<calcChain xmlns="http://schemas.openxmlformats.org/spreadsheetml/2006/main">
  <c r="N21" i="1" l="1"/>
  <c r="N22" i="1"/>
  <c r="N23" i="1"/>
  <c r="N24" i="1"/>
  <c r="N25" i="1"/>
  <c r="F14" i="1" l="1"/>
  <c r="I2" i="1" l="1"/>
  <c r="N20" i="1" l="1"/>
  <c r="I30" i="1" l="1"/>
  <c r="F29" i="1" l="1"/>
  <c r="D2" i="4" l="1"/>
  <c r="D2" i="3" l="1"/>
  <c r="B4" i="1"/>
  <c r="I31" i="1" l="1"/>
  <c r="I27" i="1" l="1"/>
  <c r="F4" i="1" s="1"/>
  <c r="D3" i="4" l="1"/>
  <c r="D3" i="3"/>
</calcChain>
</file>

<file path=xl/sharedStrings.xml><?xml version="1.0" encoding="utf-8"?>
<sst xmlns="http://schemas.openxmlformats.org/spreadsheetml/2006/main" count="385" uniqueCount="347">
  <si>
    <t>DESCRIPCIÓN</t>
  </si>
  <si>
    <t>SOLICITUD DE COTIZACIÓN</t>
  </si>
  <si>
    <t>2. JEFE DEL AREA</t>
  </si>
  <si>
    <t>5. GERENTE DE MANUFACTURA</t>
  </si>
  <si>
    <t>ACCIÓN REQUERIDA</t>
  </si>
  <si>
    <t>Notas / Observaciones</t>
  </si>
  <si>
    <t xml:space="preserve">ORDEN DE COMPRA </t>
  </si>
  <si>
    <t>PRODUCTOS / SERVICIOS REQUERIDOS</t>
  </si>
  <si>
    <t xml:space="preserve">                     ESPECIFICACIONES TÉCNICAS</t>
  </si>
  <si>
    <t xml:space="preserve">                     PLANOS (detallar n° de los planos)</t>
  </si>
  <si>
    <t>REQUIERE</t>
  </si>
  <si>
    <t xml:space="preserve">                     (BOM) LISTADO DE MATERIALES</t>
  </si>
  <si>
    <t>REV_0 - DIC 2015</t>
  </si>
  <si>
    <t>NOMBRE, FIRMA Y FECHA DE APROBACIÓN (de no ser aplicable indicar N/A – No Aplica)</t>
  </si>
  <si>
    <t xml:space="preserve"> ( Listado Local Category )</t>
  </si>
  <si>
    <t>N° CENTRO COSTO</t>
  </si>
  <si>
    <t>NOMBRE DEL PROYECTO o CC</t>
  </si>
  <si>
    <t xml:space="preserve">                     OTROS</t>
  </si>
  <si>
    <t>INFORMACION QUE ADJUNTA</t>
  </si>
  <si>
    <t xml:space="preserve">                     LISTADO DE TRABAJOS INCLUIDOS EN EL SUMINISTRO</t>
  </si>
  <si>
    <t>ITEM</t>
  </si>
  <si>
    <t>CTA CARGO</t>
  </si>
  <si>
    <t>CANTID / UNIT</t>
  </si>
  <si>
    <t xml:space="preserve"> </t>
  </si>
  <si>
    <t>REV</t>
  </si>
  <si>
    <t>DESCRIPCION</t>
  </si>
  <si>
    <t>N° DOCUMENTO</t>
  </si>
  <si>
    <t>INFORMACION A ADJUNTAR EN LA ORDEN DE COMPRA</t>
  </si>
  <si>
    <t>CRITICIDAD</t>
  </si>
  <si>
    <t xml:space="preserve">Enviar copia a: </t>
  </si>
  <si>
    <t>TOTAL BUDGET</t>
  </si>
  <si>
    <t xml:space="preserve"> ITEM </t>
  </si>
  <si>
    <t>Sin inspección en las instalaciones del fabricante.</t>
  </si>
  <si>
    <t>Inspección final previo al embarque</t>
  </si>
  <si>
    <t>Lo anterior, mas visitas de inspección previa notificación al  vendedor.</t>
  </si>
  <si>
    <t>Lo anterior, mas visitas regulares para vigilar el avance durante la fabricación.</t>
  </si>
  <si>
    <t xml:space="preserve">Lo anterior, mas Inspector residente </t>
  </si>
  <si>
    <t>Nivel reservado para inspecciones especificas y/o particulares</t>
  </si>
  <si>
    <t>NIVEL</t>
  </si>
  <si>
    <t>EQUIPO</t>
  </si>
  <si>
    <t>INSTRUCCIONES</t>
  </si>
  <si>
    <t>1.0</t>
  </si>
  <si>
    <r>
      <t>­</t>
    </r>
    <r>
      <rPr>
        <sz val="7"/>
        <color theme="1"/>
        <rFont val="Arial"/>
        <family val="2"/>
      </rPr>
      <t xml:space="preserve">         </t>
    </r>
    <r>
      <rPr>
        <sz val="11"/>
        <color theme="1"/>
        <rFont val="Arial"/>
        <family val="2"/>
      </rPr>
      <t>Nombre del Proyecto</t>
    </r>
  </si>
  <si>
    <r>
      <t>­</t>
    </r>
    <r>
      <rPr>
        <sz val="7"/>
        <color theme="1"/>
        <rFont val="Arial"/>
        <family val="2"/>
      </rPr>
      <t xml:space="preserve">         </t>
    </r>
    <r>
      <rPr>
        <sz val="11"/>
        <color theme="1"/>
        <rFont val="Arial"/>
        <family val="2"/>
      </rPr>
      <t xml:space="preserve">Un número de identificación con el siguiente formato: PRXXXX-RFQ-YYY. </t>
    </r>
  </si>
  <si>
    <r>
      <t>­</t>
    </r>
    <r>
      <rPr>
        <sz val="7"/>
        <color theme="1"/>
        <rFont val="Arial"/>
        <family val="2"/>
      </rPr>
      <t xml:space="preserve">         </t>
    </r>
    <r>
      <rPr>
        <sz val="11"/>
        <color theme="1"/>
        <rFont val="Arial"/>
        <family val="2"/>
      </rPr>
      <t>Centro de costo, el cual normalmente es un proyecto</t>
    </r>
  </si>
  <si>
    <r>
      <t>­</t>
    </r>
    <r>
      <rPr>
        <sz val="7"/>
        <color theme="1"/>
        <rFont val="Arial"/>
        <family val="2"/>
      </rPr>
      <t xml:space="preserve">         </t>
    </r>
    <r>
      <rPr>
        <sz val="11"/>
        <color theme="1"/>
        <rFont val="Arial"/>
        <family val="2"/>
      </rPr>
      <t>Presupuestos disponible. Si es una compra por garantía debe indicarse</t>
    </r>
  </si>
  <si>
    <r>
      <t>­</t>
    </r>
    <r>
      <rPr>
        <sz val="7"/>
        <color theme="1"/>
        <rFont val="Arial"/>
        <family val="2"/>
      </rPr>
      <t xml:space="preserve">         </t>
    </r>
    <r>
      <rPr>
        <sz val="11"/>
        <color theme="1"/>
        <rFont val="Arial"/>
        <family val="2"/>
      </rPr>
      <t>RAS fecha de entrega en destino en que el componente es requerido para el siguiente proceso. Si hay ítemes con diferentes fechas de entrega se deben identificar en la RFQ</t>
    </r>
  </si>
  <si>
    <r>
      <t>­</t>
    </r>
    <r>
      <rPr>
        <sz val="7"/>
        <color theme="1"/>
        <rFont val="Arial"/>
        <family val="2"/>
      </rPr>
      <t xml:space="preserve">         </t>
    </r>
    <r>
      <rPr>
        <sz val="11"/>
        <color theme="1"/>
        <rFont val="Arial"/>
        <family val="2"/>
      </rPr>
      <t>Lugar de entrega</t>
    </r>
  </si>
  <si>
    <r>
      <t>­</t>
    </r>
    <r>
      <rPr>
        <sz val="7"/>
        <color theme="1"/>
        <rFont val="Arial"/>
        <family val="2"/>
      </rPr>
      <t xml:space="preserve">         </t>
    </r>
    <r>
      <rPr>
        <sz val="11"/>
        <color theme="1"/>
        <rFont val="Arial"/>
        <family val="2"/>
      </rPr>
      <t>Proveedores sugeridos</t>
    </r>
  </si>
  <si>
    <r>
      <t>­</t>
    </r>
    <r>
      <rPr>
        <sz val="7"/>
        <color theme="1"/>
        <rFont val="Arial"/>
        <family val="2"/>
      </rPr>
      <t xml:space="preserve">         </t>
    </r>
    <r>
      <rPr>
        <sz val="11"/>
        <color theme="1"/>
        <rFont val="Arial"/>
        <family val="2"/>
      </rPr>
      <t xml:space="preserve">Descripción correcta del ítem o ítems que permita una clara identificación por parte del proveedor de lo que se solicita suministrar como modelos, tamaños, espesores, número de partes, planos, especificaciones técnicas y de calidad, calibres, colores y demás características que se necesiten para un correcto entendimiento del proveedor de los materiales, equipos y/o servicios  </t>
    </r>
  </si>
  <si>
    <r>
      <t>­</t>
    </r>
    <r>
      <rPr>
        <sz val="7"/>
        <color theme="1"/>
        <rFont val="Arial"/>
        <family val="2"/>
      </rPr>
      <t xml:space="preserve">         </t>
    </r>
    <r>
      <rPr>
        <sz val="11"/>
        <color theme="1"/>
        <rFont val="Arial"/>
        <family val="2"/>
      </rPr>
      <t>Para compras de manufactura se deberá adjuntar documento MR (Anexo N°2) con la información técnica que deberán considerar los proveedores para su cotización.</t>
    </r>
  </si>
  <si>
    <r>
      <rPr>
        <b/>
        <sz val="7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Toda RFQ deberá identificar como mínimo la siguiente información:</t>
    </r>
  </si>
  <si>
    <t>NIVELES DE INSPECCION REQUERIDO AL EQUIPO O COMPONENTE</t>
  </si>
  <si>
    <r>
      <t>­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rial"/>
        <family val="2"/>
      </rPr>
      <t>Descripción y cantidad del ítem o ítems a cotizar o comprar</t>
    </r>
  </si>
  <si>
    <r>
      <t>­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rial"/>
        <family val="2"/>
      </rPr>
      <t>Planos de diseño, croquis, hojas de datos que se deben usar.</t>
    </r>
  </si>
  <si>
    <r>
      <t>­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rial"/>
        <family val="2"/>
      </rPr>
      <t>Notas de ingeniería específicas para el o los ítems</t>
    </r>
  </si>
  <si>
    <r>
      <t>­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rial"/>
        <family val="2"/>
      </rPr>
      <t>Planos de detalles estándar relacionados (Ejemplo, planos típicos)</t>
    </r>
  </si>
  <si>
    <r>
      <t>­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rial"/>
        <family val="2"/>
      </rPr>
      <t>Plan de Inspección y Ensayos (PIE) requerido y tipo de embalaje.</t>
    </r>
  </si>
  <si>
    <t>2.0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</si>
  <si>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 xml:space="preserve">Adicionalmente, para comprar componentes complejos se deberá adjuntar toda la información que permita cuantificar y especificar técnicamente el ítem, entre ellos:   </t>
    </r>
  </si>
  <si>
    <t>FORMATO RFQ (TAB1)</t>
  </si>
  <si>
    <t>Para definir el nivel de inspeccion a aplicar al producto se requiere aplicar la siguiente tabla</t>
  </si>
  <si>
    <t>3.0</t>
  </si>
  <si>
    <t>Nivel 0</t>
  </si>
  <si>
    <t>Nivel 1</t>
  </si>
  <si>
    <t>Nivel 2</t>
  </si>
  <si>
    <t>Nivel 3</t>
  </si>
  <si>
    <t>Nivel 4</t>
  </si>
  <si>
    <t>Nivel 5</t>
  </si>
  <si>
    <r>
      <t>­</t>
    </r>
    <r>
      <rPr>
        <sz val="7"/>
        <color theme="1"/>
        <rFont val="Arial"/>
        <family val="2"/>
      </rPr>
      <t xml:space="preserve">         </t>
    </r>
    <r>
      <rPr>
        <sz val="11"/>
        <color theme="1"/>
        <rFont val="Arial"/>
        <family val="2"/>
      </rPr>
      <t>Identificación de la asociación de costo del ítem a comprar (ver TAB cuenta de cargo)</t>
    </r>
  </si>
  <si>
    <t>Códigos Financieros</t>
  </si>
  <si>
    <t>Item</t>
  </si>
  <si>
    <t>101</t>
  </si>
  <si>
    <t>Horas hombre/Mod</t>
  </si>
  <si>
    <t>102</t>
  </si>
  <si>
    <t>Mano de obra indirecta</t>
  </si>
  <si>
    <t>103</t>
  </si>
  <si>
    <t>Absortion Operaciones</t>
  </si>
  <si>
    <t>104</t>
  </si>
  <si>
    <t>HH Ingenieria Externa</t>
  </si>
  <si>
    <t>105</t>
  </si>
  <si>
    <t>Ingenieria</t>
  </si>
  <si>
    <t>201</t>
  </si>
  <si>
    <t>Subcontratos Instrumentación</t>
  </si>
  <si>
    <t>202</t>
  </si>
  <si>
    <t>Subcontratos Electricos</t>
  </si>
  <si>
    <t>203</t>
  </si>
  <si>
    <t>Maestranza / Subcontratos Manufactura</t>
  </si>
  <si>
    <t>204</t>
  </si>
  <si>
    <t>Subcontratos Apoyo</t>
  </si>
  <si>
    <t>205</t>
  </si>
  <si>
    <t>Subcontratos Cambio Revestimiento</t>
  </si>
  <si>
    <t>206</t>
  </si>
  <si>
    <t>Subcontratos Operación</t>
  </si>
  <si>
    <t>207</t>
  </si>
  <si>
    <t>Otros Subcontratos</t>
  </si>
  <si>
    <t>401</t>
  </si>
  <si>
    <t>Correo y Currier</t>
  </si>
  <si>
    <t>402</t>
  </si>
  <si>
    <t>Arriendo de vehiculos</t>
  </si>
  <si>
    <t>403</t>
  </si>
  <si>
    <t>Combustible</t>
  </si>
  <si>
    <t>404</t>
  </si>
  <si>
    <t>Tranporte personal Op.</t>
  </si>
  <si>
    <t>405</t>
  </si>
  <si>
    <t>Transporte personal adm</t>
  </si>
  <si>
    <t>406</t>
  </si>
  <si>
    <t>Fletes</t>
  </si>
  <si>
    <t>407</t>
  </si>
  <si>
    <t>Fotocopias</t>
  </si>
  <si>
    <t>408</t>
  </si>
  <si>
    <t>Computacion</t>
  </si>
  <si>
    <t>409</t>
  </si>
  <si>
    <t>Articulos de oficina</t>
  </si>
  <si>
    <t>410</t>
  </si>
  <si>
    <t>Agua</t>
  </si>
  <si>
    <t>411</t>
  </si>
  <si>
    <t>Examenes pre ocupacionales</t>
  </si>
  <si>
    <t>412</t>
  </si>
  <si>
    <t>Gastos legales fiscales</t>
  </si>
  <si>
    <t>413</t>
  </si>
  <si>
    <t>Gastos ingenieros de servicios</t>
  </si>
  <si>
    <t>414</t>
  </si>
  <si>
    <t>Lavado de overoles</t>
  </si>
  <si>
    <t>415</t>
  </si>
  <si>
    <t>Gastos viajes</t>
  </si>
  <si>
    <t>416</t>
  </si>
  <si>
    <t>Gastos Mantencion inmuebles</t>
  </si>
  <si>
    <t>417</t>
  </si>
  <si>
    <t>Seguros</t>
  </si>
  <si>
    <t>418</t>
  </si>
  <si>
    <t>Gastos notariales</t>
  </si>
  <si>
    <t>419</t>
  </si>
  <si>
    <t>Teléfonos</t>
  </si>
  <si>
    <t>420</t>
  </si>
  <si>
    <t>Capacitación</t>
  </si>
  <si>
    <t>421</t>
  </si>
  <si>
    <t>Recreación</t>
  </si>
  <si>
    <t>422</t>
  </si>
  <si>
    <t>Arriendo Inmuebles</t>
  </si>
  <si>
    <t>423</t>
  </si>
  <si>
    <t>Gastos generales</t>
  </si>
  <si>
    <t>424</t>
  </si>
  <si>
    <t>Alojamientos</t>
  </si>
  <si>
    <t>425</t>
  </si>
  <si>
    <t>Honorarios/Servicio de Terceros</t>
  </si>
  <si>
    <t>426</t>
  </si>
  <si>
    <t>Herramientas menores</t>
  </si>
  <si>
    <t>427</t>
  </si>
  <si>
    <t>Gastos Alimentación</t>
  </si>
  <si>
    <t>428</t>
  </si>
  <si>
    <t>Depreciación</t>
  </si>
  <si>
    <t>429</t>
  </si>
  <si>
    <t>Gastos rechazados</t>
  </si>
  <si>
    <t>430</t>
  </si>
  <si>
    <t>Gastos bancarios</t>
  </si>
  <si>
    <t>431</t>
  </si>
  <si>
    <t>Insumos inmuebles</t>
  </si>
  <si>
    <t>432</t>
  </si>
  <si>
    <t>Pasajes Aéreos</t>
  </si>
  <si>
    <t>433</t>
  </si>
  <si>
    <t>Arriendo máquinas y Equipos</t>
  </si>
  <si>
    <t>434</t>
  </si>
  <si>
    <t>Materiales y Herramientas</t>
  </si>
  <si>
    <t>435</t>
  </si>
  <si>
    <t>Multa producción</t>
  </si>
  <si>
    <t>436</t>
  </si>
  <si>
    <t>Movilización</t>
  </si>
  <si>
    <t>437</t>
  </si>
  <si>
    <t>Mantención vehículos</t>
  </si>
  <si>
    <t>438</t>
  </si>
  <si>
    <t>Mantención maquinaria de producción</t>
  </si>
  <si>
    <t>439</t>
  </si>
  <si>
    <t>Gastos de representación</t>
  </si>
  <si>
    <t>440</t>
  </si>
  <si>
    <t>Otros gastos</t>
  </si>
  <si>
    <t>441</t>
  </si>
  <si>
    <t>Gastos de aduana</t>
  </si>
  <si>
    <t>442</t>
  </si>
  <si>
    <t>Rendiciones de gastos</t>
  </si>
  <si>
    <t>443</t>
  </si>
  <si>
    <t>Amort. Articulos de Seguridad</t>
  </si>
  <si>
    <t>444</t>
  </si>
  <si>
    <t>Amort. Herramientas Menores</t>
  </si>
  <si>
    <t>445</t>
  </si>
  <si>
    <t>Bonificación D. L. 889</t>
  </si>
  <si>
    <t>446</t>
  </si>
  <si>
    <t>Elementos de Seguridad</t>
  </si>
  <si>
    <t>447</t>
  </si>
  <si>
    <t>Provisión de Vacaciones</t>
  </si>
  <si>
    <t>448</t>
  </si>
  <si>
    <t>Instalación de Faena</t>
  </si>
  <si>
    <t>449</t>
  </si>
  <si>
    <t>Repuestos</t>
  </si>
  <si>
    <t>450</t>
  </si>
  <si>
    <t>Costo por Grado de Avance</t>
  </si>
  <si>
    <t>451</t>
  </si>
  <si>
    <t>Costo de Venta Total</t>
  </si>
  <si>
    <t>Revestimiento</t>
  </si>
  <si>
    <t>Backcharges</t>
  </si>
  <si>
    <t>Contigencias</t>
  </si>
  <si>
    <t>Costo Inventario</t>
  </si>
  <si>
    <t>Inspección</t>
  </si>
  <si>
    <t>Asistencia en Terreno</t>
  </si>
  <si>
    <t>Pernería</t>
  </si>
  <si>
    <t>Materiales eléctricos e Instrumentos</t>
  </si>
  <si>
    <t>Moldes fabricación y reparación</t>
  </si>
  <si>
    <t>Embalajes</t>
  </si>
  <si>
    <t>Materiales Importados</t>
  </si>
  <si>
    <t>Garantías Técnicas</t>
  </si>
  <si>
    <t>CUENTA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</si>
  <si>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 xml:space="preserve">Adicionalmente, para comprar componentes complejos o equipos se deberá adjuntar toda la información que permita cuantificar y especificar técnicamente el componente o equipo a comprar, entre ellos:   </t>
    </r>
  </si>
  <si>
    <t xml:space="preserve"> - Plan de Entregas con fechas del requerimiento en terreno</t>
  </si>
  <si>
    <t>VENDOR (TAB)</t>
  </si>
  <si>
    <t>ADJUNTOS (TAB)</t>
  </si>
  <si>
    <r>
      <t>­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rial"/>
        <family val="2"/>
      </rPr>
      <t>Planos generales</t>
    </r>
  </si>
  <si>
    <r>
      <t>­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rial"/>
        <family val="2"/>
      </rPr>
      <t>Planos electricos</t>
    </r>
  </si>
  <si>
    <r>
      <t>­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rial"/>
        <family val="2"/>
      </rPr>
      <t>Planos de instrumentacion y control</t>
    </r>
  </si>
  <si>
    <r>
      <t>­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rial"/>
        <family val="2"/>
      </rPr>
      <t>Hojas de datos</t>
    </r>
  </si>
  <si>
    <r>
      <t>­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rial"/>
        <family val="2"/>
      </rPr>
      <t>ETC</t>
    </r>
  </si>
  <si>
    <t>ARO</t>
  </si>
  <si>
    <t>Para efectos de establecer prioridades en los procesos de compra se establecen las siguientes situaciones de criticidad</t>
  </si>
  <si>
    <t>NIVELES DE CRITICIDAD</t>
  </si>
  <si>
    <t>Requiere atencion inmediata por sobre los otros procesos de compra  y esta relacionado con problemas de garantia o trabajos de montaje que pueden originar backcharges o multas</t>
  </si>
  <si>
    <t>La compra esta en la ruta critica del suministro y requiere prioridad sobre los otros procesos de compra</t>
  </si>
  <si>
    <t>La compra esta con poca holgura y debe tener atencion oportuna</t>
  </si>
  <si>
    <t>La compra esta con una holgura adecuada de semanas y puede ser pospuesta para atender las compras en niveles mas prioritarios. No obstante debe en lo posible enviarse la MR a los proveedores para cotizacion</t>
  </si>
  <si>
    <r>
      <t>­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rial"/>
        <family val="2"/>
      </rPr>
      <t xml:space="preserve">Especificaciones técnicas aplicables ya </t>
    </r>
    <r>
      <rPr>
        <b/>
        <sz val="11"/>
        <color theme="1"/>
        <rFont val="Arial"/>
        <family val="2"/>
      </rPr>
      <t xml:space="preserve">sea del cliente </t>
    </r>
    <r>
      <rPr>
        <sz val="11"/>
        <color theme="1"/>
        <rFont val="Arial"/>
        <family val="2"/>
      </rPr>
      <t>o propias de FLSmidth que se deben usar.</t>
    </r>
  </si>
  <si>
    <t>PLANOS Y DOCUMENTOS DEL CLIENTE</t>
  </si>
  <si>
    <t xml:space="preserve">NIVEL 5: Inspección Reservado (especial/específica) a un equipo determinado </t>
  </si>
  <si>
    <t>PU (USD)</t>
  </si>
  <si>
    <t>BUDGET (USD)</t>
  </si>
  <si>
    <t>VDR</t>
  </si>
  <si>
    <t>SCHEDULE</t>
  </si>
  <si>
    <t>PACKING LIST</t>
  </si>
  <si>
    <t>PHASE</t>
  </si>
  <si>
    <t>DELIVERABLE LIST</t>
  </si>
  <si>
    <t>GENERAL ARRANGEMENT DRAWINGS</t>
  </si>
  <si>
    <t>WEEKS</t>
  </si>
  <si>
    <t>FOR APPROVAL</t>
  </si>
  <si>
    <t>CERTIFIED</t>
  </si>
  <si>
    <t>DESCRIPTION</t>
  </si>
  <si>
    <t>AFTER RECEIPT OF ORDER</t>
  </si>
  <si>
    <t>ASO</t>
  </si>
  <si>
    <t>AFTER SHIPMENT OF ORDER</t>
  </si>
  <si>
    <t>SHIP</t>
  </si>
  <si>
    <t>UPON SHIPMENT</t>
  </si>
  <si>
    <t>ARA</t>
  </si>
  <si>
    <t>AFTER RECEIPT OF APPROVAL</t>
  </si>
  <si>
    <t>PART NUMBER</t>
  </si>
  <si>
    <t>PLANOS DE PARTES REQUERIDAS</t>
  </si>
  <si>
    <t>PLANOS Y DOCUMENTOS CON ESPECIFICACIONES DE FLSMIDTH</t>
  </si>
  <si>
    <t>CALIDAD</t>
  </si>
  <si>
    <t>PROGRESS REPORT (inc. S-Curve)</t>
  </si>
  <si>
    <t>N° RFQ</t>
  </si>
  <si>
    <t>Proveedor debe enviar toda documentacion de Calidad (MDR) indicado en el ITP.</t>
  </si>
  <si>
    <t xml:space="preserve">                     LISTADO DE DOCUMENTACIÓN APLICABLE AL SUMINISTRO (VDR)</t>
  </si>
  <si>
    <t xml:space="preserve">                     REQUERIMIENTOS DE CALIDAD APLICABLES AL SUMINISTRO (ITP)</t>
  </si>
  <si>
    <t>MATRIX OF COMMUNICATIONS</t>
  </si>
  <si>
    <t>SUB-EQUIPMENT LIST</t>
  </si>
  <si>
    <t>CERTIFICATE OF MATERIALS</t>
  </si>
  <si>
    <t>ELECTRIC LOAD LIST (IF APPLICABLE)</t>
  </si>
  <si>
    <t>MOTOR LIST (IF APPLICABLE)</t>
  </si>
  <si>
    <t>MANUFACTURE DATA REPORT (MDR) - DOSSIER</t>
  </si>
  <si>
    <t xml:space="preserve">Toda la documentación de Calidad (Dossier de Calidad) y </t>
  </si>
  <si>
    <t>1. USUARIO SOLICITANTE DE LA RFQ</t>
  </si>
  <si>
    <t>PURCHASING REQUISITION</t>
  </si>
  <si>
    <t>Lugar de Entrega</t>
  </si>
  <si>
    <t>N° RFQ / PO y N° Rev</t>
  </si>
  <si>
    <t>EMITIR RFQ</t>
  </si>
  <si>
    <t>EMITIR REVISION</t>
  </si>
  <si>
    <t>RECOTIZAR</t>
  </si>
  <si>
    <t>EMITIR ODC NUEVA</t>
  </si>
  <si>
    <t>CAMBIO DE ORDEN</t>
  </si>
  <si>
    <t>Número ODC:</t>
  </si>
  <si>
    <t>Persona de Contacto en la Entrega</t>
  </si>
  <si>
    <t>(adjuntar asignación directa) ----&gt;</t>
  </si>
  <si>
    <t>Nombre Proveedor</t>
  </si>
  <si>
    <t>NIVEL 2: Visitas Inspección sólo cuando sea notificado por el proveedor +N1</t>
  </si>
  <si>
    <t>NIVEL 3: Inspección Regular al Proveedor para hacer seguimiento a trabajos +N2</t>
  </si>
  <si>
    <t>Fecha para la cual se requieren las ofertas:</t>
  </si>
  <si>
    <t>Enviar copia a:</t>
  </si>
  <si>
    <t>NIVEL DE INSPECCIÓN QC</t>
  </si>
  <si>
    <t>NIVEL 0: No requiere inspección</t>
  </si>
  <si>
    <t>NIVEL 4: Inspección controlará la operación en forma continua. Residente. +N3</t>
  </si>
  <si>
    <t>NIVEL 1: Verificación de Calidad Final antes de embarque</t>
  </si>
  <si>
    <t xml:space="preserve">                     PROVEEDORES SUGERIDOS</t>
  </si>
  <si>
    <t xml:space="preserve">                     PROVEEDOR ÚNICO</t>
  </si>
  <si>
    <t>3. GERENTE DE PROYECTO</t>
  </si>
  <si>
    <t>4. GERENTE QA/QC</t>
  </si>
  <si>
    <t>6. RECEPCIONADO POR PROCUREMENT</t>
  </si>
  <si>
    <t xml:space="preserve">con tres aros, de 2 ½” de lomo y con los separadores de un solo color numerados según el índice </t>
  </si>
  <si>
    <t>Notas:</t>
  </si>
  <si>
    <t>Los Dossiers y/o manuales, serán incluidos dentro de una carpeta blanca plastificada, tamaño A-4,</t>
  </si>
  <si>
    <t xml:space="preserve">                     DOCUMENTACION A ENTREGAR POR EL PROVEEDOR (MDR) &lt;----- en ITP</t>
  </si>
  <si>
    <t>FECHA CIERRE DE RFQ</t>
  </si>
  <si>
    <t>LISTADO DE DOCUMENTACIÓN APLICABLE AL SUMINISTRO</t>
  </si>
  <si>
    <t>OTROS</t>
  </si>
  <si>
    <t>FECHA</t>
  </si>
  <si>
    <t>Manuales debe ser enviado en físico (02 Copias) y digital (oficinas FLS Perú).</t>
  </si>
  <si>
    <t>JOB SCREENSHOT</t>
  </si>
  <si>
    <t>DWG NUMBER</t>
  </si>
  <si>
    <t>Tulio Chacon</t>
  </si>
  <si>
    <t>Manuel Deza</t>
  </si>
  <si>
    <t>Marco Morales</t>
  </si>
  <si>
    <t>Ljubo Krajnec</t>
  </si>
  <si>
    <t>QSESOP7134</t>
  </si>
  <si>
    <t>Vibrating Screens and Feeders Specifications</t>
  </si>
  <si>
    <t>Weekly</t>
  </si>
  <si>
    <t>1 ARO</t>
  </si>
  <si>
    <t>1 ARA</t>
  </si>
  <si>
    <t>PROGRESS INFORMATION VIA EMAIL</t>
  </si>
  <si>
    <t>QSESOP7149</t>
  </si>
  <si>
    <t>Paint Specifications</t>
  </si>
  <si>
    <t>IOM (OR EQUIVALENT) (IF APPLICABLE)</t>
  </si>
  <si>
    <t>1 PRE-SHIP</t>
  </si>
  <si>
    <t>1301A01865</t>
  </si>
  <si>
    <t>1301A01866</t>
  </si>
  <si>
    <t>1301A01867</t>
  </si>
  <si>
    <t>1301A01868</t>
  </si>
  <si>
    <t>1301A01871</t>
  </si>
  <si>
    <t>1301A01870</t>
  </si>
  <si>
    <t>Liner BRU Feedbox Base 2-3685B 298x485x64 Ludo Liner HD64</t>
  </si>
  <si>
    <t>Liner BRU Feedbox Back 2-3685B 298x396x35 Ludo Liner Classic</t>
  </si>
  <si>
    <t>Liner BRU Feedbox Side 2-3685B 423x527X35 Ludo Liner Classic RH</t>
  </si>
  <si>
    <t>Liner BRU Feedbox Side 2-3685B 244x638X35 Ludo Liner Classic RH</t>
  </si>
  <si>
    <t>Liner BRU Feedbox Side 2-3685B 423x527X35 Ludo Liner Classic LH</t>
  </si>
  <si>
    <t>Liner BRU Feedbox Side 2-3685B 244x638X35 Ludo Liner Classic LH</t>
  </si>
  <si>
    <t>1301A01865_0</t>
  </si>
  <si>
    <t>1301A01866_0</t>
  </si>
  <si>
    <t>1301A01867_0</t>
  </si>
  <si>
    <t>1301A01868_0</t>
  </si>
  <si>
    <t>1301A01871_0</t>
  </si>
  <si>
    <t>1301A01870_0</t>
  </si>
  <si>
    <t>Bi-Weekly</t>
  </si>
  <si>
    <t>Poly-Cer Composite Wear Resistant Plates</t>
  </si>
  <si>
    <t>Ludoliner Impact Wear Panels</t>
  </si>
  <si>
    <t>N/A</t>
  </si>
  <si>
    <t>PU (PEN)</t>
  </si>
  <si>
    <t>Revestimiento de Poliuretano</t>
  </si>
  <si>
    <t>1055-OP-QC-ITP-011</t>
  </si>
  <si>
    <t>INSPECTION TEST PLAN (ITP) (IF APPLICABLE)</t>
  </si>
  <si>
    <t>Diego Mamani Guerrero</t>
  </si>
  <si>
    <t>Toquepala 3rd Wet Vibrating Screen</t>
  </si>
  <si>
    <t>Fecha de entrega RAS (Arequipa)</t>
  </si>
  <si>
    <t>FCA AQP</t>
  </si>
  <si>
    <t>ALMACÉN SUPERCENTER AQP - CYNTHIA BARRIGA, ALEXANDER SUPO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</si>
</sst>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 [$USD]\ * #,##0.00_ ;_ [$USD]\ * \-#,##0.00_ ;_ [$USD]\ * &quot;-&quot;_ ;_ @_ "/>
    <numFmt numFmtId="165" formatCode="General\ &quot;EA&quot;"/>
    <numFmt numFmtId="166" formatCode="_(* #,##0.00_);_(* \(#,##0.00\);_(* &quot;-&quot;??_);_(@_)"/>
  </numFmts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6"/>
      <color theme="0"/>
      <name val="Arial"/>
      <family val="2"/>
    </font>
    <font>
      <sz val="8"/>
      <color theme="3"/>
      <name val="Arial"/>
      <family val="2"/>
    </font>
    <font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11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9"/>
      <color rgb="FF000000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b/>
      <sz val="8"/>
      <color theme="3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6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43" fontId="10" fillId="0" borderId="0" applyFont="0" applyFill="0" applyBorder="0" applyAlignment="0" applyProtection="0"/>
    <xf numFmtId="0" fontId="10" fillId="0" borderId="0"/>
    <xf numFmtId="0" fontId="1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94">
    <xf numFmtId="0" fontId="0" fillId="0" borderId="0" xfId="0"/>
    <xf numFmtId="0" fontId="5" fillId="0" borderId="0" xfId="0" applyFont="1" applyAlignment="1">
      <alignment vertical="center"/>
    </xf>
    <xf numFmtId="0" fontId="5" fillId="0" borderId="8" xfId="0" applyFont="1" applyBorder="1" applyAlignment="1">
      <alignment vertical="center"/>
    </xf>
    <xf numFmtId="0" fontId="2" fillId="2" borderId="6" xfId="1" applyFont="1" applyFill="1" applyBorder="1" applyAlignment="1" applyProtection="1">
      <alignment vertical="center"/>
    </xf>
    <xf numFmtId="0" fontId="2" fillId="2" borderId="7" xfId="1" applyFont="1" applyFill="1" applyBorder="1" applyAlignment="1" applyProtection="1">
      <alignment vertical="center"/>
    </xf>
    <xf numFmtId="0" fontId="3" fillId="2" borderId="8" xfId="1" applyFont="1" applyFill="1" applyBorder="1" applyAlignment="1" applyProtection="1">
      <alignment horizontal="center" vertical="center"/>
      <protection hidden="1"/>
    </xf>
    <xf numFmtId="0" fontId="6" fillId="0" borderId="3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9" xfId="0" applyFont="1" applyBorder="1" applyAlignment="1">
      <alignment horizontal="left" vertical="center"/>
    </xf>
    <xf numFmtId="0" fontId="9" fillId="0" borderId="0" xfId="0" quotePrefix="1" applyFont="1" applyBorder="1" applyAlignment="1">
      <alignment horizontal="center" vertical="center"/>
    </xf>
    <xf numFmtId="0" fontId="13" fillId="0" borderId="0" xfId="0" applyFont="1" applyAlignment="1">
      <alignment horizontal="justify" vertical="center"/>
    </xf>
    <xf numFmtId="49" fontId="14" fillId="0" borderId="0" xfId="0" applyNumberFormat="1" applyFont="1" applyAlignment="1">
      <alignment horizontal="justify" vertical="center"/>
    </xf>
    <xf numFmtId="49" fontId="17" fillId="2" borderId="0" xfId="0" applyNumberFormat="1" applyFont="1" applyFill="1" applyAlignment="1">
      <alignment horizontal="justify" vertical="center"/>
    </xf>
    <xf numFmtId="49" fontId="12" fillId="0" borderId="0" xfId="0" applyNumberFormat="1" applyFont="1" applyAlignment="1">
      <alignment horizontal="justify" vertical="center"/>
    </xf>
    <xf numFmtId="49" fontId="0" fillId="0" borderId="0" xfId="0" applyNumberFormat="1"/>
    <xf numFmtId="49" fontId="18" fillId="4" borderId="5" xfId="0" applyNumberFormat="1" applyFont="1" applyFill="1" applyBorder="1" applyAlignment="1">
      <alignment vertical="center"/>
    </xf>
    <xf numFmtId="0" fontId="18" fillId="4" borderId="5" xfId="0" applyFont="1" applyFill="1" applyBorder="1" applyAlignment="1">
      <alignment vertical="center"/>
    </xf>
    <xf numFmtId="49" fontId="19" fillId="0" borderId="5" xfId="0" applyNumberFormat="1" applyFont="1" applyBorder="1" applyAlignment="1">
      <alignment horizontal="justify" vertical="center"/>
    </xf>
    <xf numFmtId="0" fontId="19" fillId="0" borderId="5" xfId="0" applyFont="1" applyBorder="1" applyAlignment="1">
      <alignment horizontal="justify" vertical="center"/>
    </xf>
    <xf numFmtId="49" fontId="19" fillId="0" borderId="0" xfId="0" applyNumberFormat="1" applyFont="1" applyBorder="1" applyAlignment="1">
      <alignment horizontal="justify" vertical="center"/>
    </xf>
    <xf numFmtId="0" fontId="19" fillId="0" borderId="0" xfId="0" applyFont="1" applyBorder="1" applyAlignment="1">
      <alignment horizontal="justify" vertical="center"/>
    </xf>
    <xf numFmtId="49" fontId="18" fillId="0" borderId="0" xfId="0" applyNumberFormat="1" applyFont="1" applyBorder="1" applyAlignment="1">
      <alignment horizontal="justify" vertical="center"/>
    </xf>
    <xf numFmtId="0" fontId="17" fillId="9" borderId="5" xfId="0" applyFont="1" applyFill="1" applyBorder="1" applyAlignment="1">
      <alignment horizontal="center" vertical="center"/>
    </xf>
    <xf numFmtId="0" fontId="20" fillId="10" borderId="5" xfId="0" applyFont="1" applyFill="1" applyBorder="1" applyAlignment="1">
      <alignment horizontal="center" vertical="center"/>
    </xf>
    <xf numFmtId="0" fontId="21" fillId="6" borderId="5" xfId="0" applyFont="1" applyFill="1" applyBorder="1" applyAlignment="1">
      <alignment horizontal="center" vertical="center"/>
    </xf>
    <xf numFmtId="0" fontId="20" fillId="11" borderId="5" xfId="0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4" fillId="2" borderId="13" xfId="1" applyFont="1" applyFill="1" applyBorder="1" applyAlignment="1" applyProtection="1">
      <alignment vertical="center"/>
      <protection hidden="1"/>
    </xf>
    <xf numFmtId="0" fontId="4" fillId="2" borderId="1" xfId="1" applyFont="1" applyFill="1" applyBorder="1" applyAlignment="1" applyProtection="1">
      <alignment vertical="center"/>
      <protection hidden="1"/>
    </xf>
    <xf numFmtId="0" fontId="4" fillId="2" borderId="4" xfId="1" applyFont="1" applyFill="1" applyBorder="1" applyAlignment="1" applyProtection="1">
      <alignment vertical="center"/>
      <protection hidden="1"/>
    </xf>
    <xf numFmtId="0" fontId="5" fillId="0" borderId="5" xfId="0" applyFont="1" applyFill="1" applyBorder="1" applyAlignment="1">
      <alignment horizontal="center" vertical="center"/>
    </xf>
    <xf numFmtId="0" fontId="24" fillId="0" borderId="4" xfId="0" applyFont="1" applyFill="1" applyBorder="1" applyAlignment="1">
      <alignment vertical="center"/>
    </xf>
    <xf numFmtId="0" fontId="6" fillId="0" borderId="4" xfId="0" applyFont="1" applyFill="1" applyBorder="1" applyAlignment="1">
      <alignment vertical="center"/>
    </xf>
    <xf numFmtId="165" fontId="23" fillId="0" borderId="1" xfId="0" applyNumberFormat="1" applyFont="1" applyFill="1" applyBorder="1" applyAlignment="1">
      <alignment horizontal="center" vertical="center"/>
    </xf>
    <xf numFmtId="0" fontId="23" fillId="0" borderId="5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43" fontId="23" fillId="0" borderId="5" xfId="2" applyFont="1" applyFill="1" applyBorder="1" applyAlignment="1">
      <alignment vertical="center" wrapText="1"/>
    </xf>
    <xf numFmtId="0" fontId="26" fillId="0" borderId="11" xfId="0" applyFont="1" applyBorder="1" applyAlignment="1">
      <alignment horizontal="center" vertical="center"/>
    </xf>
    <xf numFmtId="164" fontId="26" fillId="11" borderId="11" xfId="2" applyNumberFormat="1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6" fillId="0" borderId="1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27" fillId="0" borderId="0" xfId="0" applyFont="1"/>
    <xf numFmtId="0" fontId="27" fillId="4" borderId="5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28" fillId="0" borderId="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4" borderId="5" xfId="0" applyFont="1" applyFill="1" applyBorder="1" applyAlignment="1">
      <alignment horizontal="left" vertical="center"/>
    </xf>
    <xf numFmtId="0" fontId="25" fillId="0" borderId="5" xfId="0" applyFont="1" applyFill="1" applyBorder="1" applyAlignment="1">
      <alignment horizontal="right" vertical="center"/>
    </xf>
    <xf numFmtId="0" fontId="22" fillId="5" borderId="5" xfId="0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vertical="center"/>
    </xf>
    <xf numFmtId="0" fontId="31" fillId="7" borderId="16" xfId="0" applyNumberFormat="1" applyFont="1" applyFill="1" applyBorder="1" applyAlignment="1">
      <alignment horizontal="center"/>
    </xf>
    <xf numFmtId="0" fontId="31" fillId="7" borderId="20" xfId="0" applyFont="1" applyFill="1" applyBorder="1" applyAlignment="1">
      <alignment horizontal="center"/>
    </xf>
    <xf numFmtId="0" fontId="30" fillId="8" borderId="17" xfId="0" applyFont="1" applyFill="1" applyBorder="1" applyAlignment="1">
      <alignment horizontal="center" vertical="center"/>
    </xf>
    <xf numFmtId="0" fontId="30" fillId="8" borderId="21" xfId="0" applyFont="1" applyFill="1" applyBorder="1" applyAlignment="1">
      <alignment vertical="center"/>
    </xf>
    <xf numFmtId="0" fontId="30" fillId="0" borderId="18" xfId="0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vertical="center"/>
    </xf>
    <xf numFmtId="0" fontId="30" fillId="8" borderId="18" xfId="0" applyFont="1" applyFill="1" applyBorder="1" applyAlignment="1">
      <alignment horizontal="center" vertical="center"/>
    </xf>
    <xf numFmtId="0" fontId="30" fillId="8" borderId="22" xfId="0" applyFont="1" applyFill="1" applyBorder="1" applyAlignment="1">
      <alignment vertical="center"/>
    </xf>
    <xf numFmtId="0" fontId="30" fillId="8" borderId="16" xfId="0" applyFont="1" applyFill="1" applyBorder="1" applyAlignment="1">
      <alignment horizontal="center" vertical="center"/>
    </xf>
    <xf numFmtId="0" fontId="30" fillId="8" borderId="2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27" fillId="0" borderId="5" xfId="0" applyFont="1" applyFill="1" applyBorder="1" applyAlignment="1">
      <alignment horizontal="center" vertical="center" wrapText="1"/>
    </xf>
    <xf numFmtId="0" fontId="27" fillId="0" borderId="5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vertical="center"/>
    </xf>
    <xf numFmtId="0" fontId="27" fillId="0" borderId="5" xfId="0" applyFont="1" applyFill="1" applyBorder="1" applyAlignment="1">
      <alignment vertical="center" wrapText="1"/>
    </xf>
    <xf numFmtId="15" fontId="24" fillId="11" borderId="4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43" fontId="23" fillId="0" borderId="5" xfId="2" applyFont="1" applyFill="1" applyBorder="1" applyAlignment="1">
      <alignment vertical="center"/>
    </xf>
    <xf numFmtId="166" fontId="23" fillId="0" borderId="5" xfId="0" applyNumberFormat="1" applyFont="1" applyFill="1" applyBorder="1" applyAlignment="1">
      <alignment vertical="center"/>
    </xf>
    <xf numFmtId="0" fontId="27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vertical="center"/>
    </xf>
    <xf numFmtId="0" fontId="6" fillId="0" borderId="11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15" fontId="27" fillId="0" borderId="0" xfId="0" applyNumberFormat="1" applyFont="1" applyFill="1" applyAlignment="1">
      <alignment horizontal="center" vertical="center"/>
    </xf>
    <xf numFmtId="0" fontId="30" fillId="0" borderId="5" xfId="0" applyFont="1" applyFill="1" applyBorder="1" applyAlignment="1">
      <alignment vertical="center" wrapText="1"/>
    </xf>
    <xf numFmtId="0" fontId="29" fillId="0" borderId="5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23" fillId="0" borderId="1" xfId="0" applyFont="1" applyFill="1" applyBorder="1" applyAlignment="1">
      <alignment horizontal="center" vertical="center" wrapText="1"/>
    </xf>
    <xf numFmtId="0" fontId="32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26" fillId="11" borderId="5" xfId="0" applyFont="1" applyFill="1" applyBorder="1" applyAlignment="1">
      <alignment horizontal="center" vertical="center"/>
    </xf>
    <xf numFmtId="15" fontId="26" fillId="0" borderId="5" xfId="0" applyNumberFormat="1" applyFont="1" applyBorder="1" applyAlignment="1">
      <alignment vertical="center"/>
    </xf>
    <xf numFmtId="15" fontId="24" fillId="0" borderId="5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16" fontId="5" fillId="0" borderId="0" xfId="0" applyNumberFormat="1" applyFont="1" applyFill="1" applyAlignment="1">
      <alignment vertical="center"/>
    </xf>
    <xf numFmtId="0" fontId="6" fillId="0" borderId="5" xfId="0" applyFont="1" applyFill="1" applyBorder="1" applyAlignment="1">
      <alignment vertical="center"/>
    </xf>
    <xf numFmtId="0" fontId="27" fillId="0" borderId="5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right" vertical="center"/>
    </xf>
    <xf numFmtId="0" fontId="29" fillId="13" borderId="5" xfId="0" applyFont="1" applyFill="1" applyBorder="1" applyAlignment="1">
      <alignment horizontal="center" vertical="center"/>
    </xf>
    <xf numFmtId="0" fontId="29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6" fontId="7" fillId="0" borderId="1" xfId="0" applyNumberFormat="1" applyFont="1" applyFill="1" applyBorder="1" applyAlignment="1">
      <alignment vertical="center"/>
    </xf>
    <xf numFmtId="14" fontId="5" fillId="0" borderId="0" xfId="0" applyNumberFormat="1" applyFont="1" applyFill="1" applyAlignment="1">
      <alignment vertical="center"/>
    </xf>
    <xf numFmtId="0" fontId="27" fillId="0" borderId="5" xfId="0" applyFont="1" applyFill="1" applyBorder="1" applyAlignment="1">
      <alignment horizontal="left" vertical="center" wrapText="1" indent="2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horizontal="left" vertical="center"/>
    </xf>
    <xf numFmtId="0" fontId="27" fillId="0" borderId="23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vertical="center"/>
    </xf>
    <xf numFmtId="0" fontId="27" fillId="0" borderId="24" xfId="0" applyFont="1" applyFill="1" applyBorder="1" applyAlignment="1">
      <alignment horizontal="center" vertical="center"/>
    </xf>
    <xf numFmtId="0" fontId="27" fillId="0" borderId="25" xfId="0" applyFont="1" applyFill="1" applyBorder="1" applyAlignment="1">
      <alignment horizontal="center" vertical="center"/>
    </xf>
    <xf numFmtId="0" fontId="27" fillId="0" borderId="26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27" fillId="0" borderId="27" xfId="0" applyFont="1" applyFill="1" applyBorder="1" applyAlignment="1">
      <alignment horizontal="center" vertical="center"/>
    </xf>
    <xf numFmtId="0" fontId="27" fillId="0" borderId="0" xfId="0" quotePrefix="1" applyFont="1" applyFill="1" applyBorder="1" applyAlignment="1">
      <alignment vertical="center"/>
    </xf>
    <xf numFmtId="0" fontId="27" fillId="0" borderId="28" xfId="0" applyFont="1" applyFill="1" applyBorder="1" applyAlignment="1">
      <alignment horizontal="center" vertical="center"/>
    </xf>
    <xf numFmtId="0" fontId="27" fillId="0" borderId="29" xfId="0" quotePrefix="1" applyFont="1" applyFill="1" applyBorder="1" applyAlignment="1">
      <alignment vertical="center"/>
    </xf>
    <xf numFmtId="0" fontId="27" fillId="0" borderId="29" xfId="0" applyFont="1" applyFill="1" applyBorder="1" applyAlignment="1">
      <alignment horizontal="center" vertical="center"/>
    </xf>
    <xf numFmtId="0" fontId="27" fillId="0" borderId="30" xfId="0" applyFont="1" applyFill="1" applyBorder="1" applyAlignment="1">
      <alignment horizontal="center" vertical="center"/>
    </xf>
    <xf numFmtId="0" fontId="4" fillId="2" borderId="13" xfId="1" applyFont="1" applyFill="1" applyBorder="1" applyAlignment="1" applyProtection="1">
      <alignment horizontal="center" vertical="center"/>
      <protection hidden="1"/>
    </xf>
    <xf numFmtId="0" fontId="4" fillId="2" borderId="1" xfId="1" applyFont="1" applyFill="1" applyBorder="1" applyAlignment="1" applyProtection="1">
      <alignment horizontal="center" vertical="center"/>
      <protection hidden="1"/>
    </xf>
    <xf numFmtId="0" fontId="4" fillId="2" borderId="4" xfId="1" applyFont="1" applyFill="1" applyBorder="1" applyAlignment="1" applyProtection="1">
      <alignment horizontal="center" vertical="center"/>
      <protection hidden="1"/>
    </xf>
    <xf numFmtId="0" fontId="22" fillId="0" borderId="13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23" fillId="0" borderId="13" xfId="0" applyFont="1" applyFill="1" applyBorder="1" applyAlignment="1">
      <alignment horizontal="right" vertical="center" wrapText="1"/>
    </xf>
    <xf numFmtId="0" fontId="23" fillId="0" borderId="1" xfId="0" applyFont="1" applyFill="1" applyBorder="1" applyAlignment="1">
      <alignment horizontal="right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8" fillId="2" borderId="1" xfId="1" applyFont="1" applyFill="1" applyBorder="1" applyAlignment="1" applyProtection="1">
      <alignment horizontal="center" vertical="center"/>
    </xf>
    <xf numFmtId="0" fontId="4" fillId="2" borderId="5" xfId="1" applyFont="1" applyFill="1" applyBorder="1" applyAlignment="1" applyProtection="1">
      <alignment horizontal="center" vertical="center"/>
      <protection hidden="1"/>
    </xf>
    <xf numFmtId="0" fontId="7" fillId="0" borderId="14" xfId="0" applyFont="1" applyBorder="1" applyAlignment="1">
      <alignment horizontal="left" vertical="center"/>
    </xf>
    <xf numFmtId="0" fontId="26" fillId="0" borderId="12" xfId="0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23" fillId="0" borderId="13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3" fillId="0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6" fillId="11" borderId="1" xfId="0" applyFont="1" applyFill="1" applyBorder="1" applyAlignment="1">
      <alignment horizontal="left" vertical="center"/>
    </xf>
    <xf numFmtId="0" fontId="26" fillId="11" borderId="4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8" fillId="0" borderId="13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8" fillId="0" borderId="4" xfId="0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8" fillId="4" borderId="13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8" fillId="4" borderId="4" xfId="0" applyFont="1" applyFill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3" borderId="13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0" fontId="22" fillId="5" borderId="12" xfId="0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/>
    </xf>
    <xf numFmtId="0" fontId="27" fillId="6" borderId="5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31" fillId="7" borderId="15" xfId="0" applyFont="1" applyFill="1" applyBorder="1" applyAlignment="1">
      <alignment horizontal="center"/>
    </xf>
    <xf numFmtId="0" fontId="31" fillId="7" borderId="19" xfId="0" applyFont="1" applyFill="1" applyBorder="1" applyAlignment="1">
      <alignment horizontal="center"/>
    </xf>
  </cellXfs>
  <cellStyles count="7">
    <cellStyle name="Comma" xfId="2" builtinId="3"/>
    <cellStyle name="Comma 2" xfId="6"/>
    <cellStyle name="Normal" xfId="0" builtinId="0"/>
    <cellStyle name="Normal 2" xfId="1"/>
    <cellStyle name="Normal 4" xfId="4"/>
    <cellStyle name="Normal 5 2" xfId="3"/>
    <cellStyle name="Percent 5 2" xfId="5"/>
  </cellStyles>
  <dxfs count="4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CC"/>
      <color rgb="FF33996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5</xdr:row>
          <xdr:rowOff>200025</xdr:rowOff>
        </xdr:from>
        <xdr:to>
          <xdr:col>4</xdr:col>
          <xdr:colOff>285750</xdr:colOff>
          <xdr:row>7</xdr:row>
          <xdr:rowOff>19050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1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5</xdr:row>
          <xdr:rowOff>180975</xdr:rowOff>
        </xdr:from>
        <xdr:to>
          <xdr:col>5</xdr:col>
          <xdr:colOff>285750</xdr:colOff>
          <xdr:row>7</xdr:row>
          <xdr:rowOff>19050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1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5</xdr:row>
          <xdr:rowOff>190500</xdr:rowOff>
        </xdr:from>
        <xdr:to>
          <xdr:col>6</xdr:col>
          <xdr:colOff>285750</xdr:colOff>
          <xdr:row>7</xdr:row>
          <xdr:rowOff>19050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1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5</xdr:row>
          <xdr:rowOff>190500</xdr:rowOff>
        </xdr:from>
        <xdr:to>
          <xdr:col>7</xdr:col>
          <xdr:colOff>285750</xdr:colOff>
          <xdr:row>7</xdr:row>
          <xdr:rowOff>19050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1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5</xdr:row>
          <xdr:rowOff>200025</xdr:rowOff>
        </xdr:from>
        <xdr:to>
          <xdr:col>1</xdr:col>
          <xdr:colOff>323850</xdr:colOff>
          <xdr:row>7</xdr:row>
          <xdr:rowOff>28575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1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11</xdr:row>
          <xdr:rowOff>209550</xdr:rowOff>
        </xdr:from>
        <xdr:to>
          <xdr:col>1</xdr:col>
          <xdr:colOff>304800</xdr:colOff>
          <xdr:row>13</xdr:row>
          <xdr:rowOff>38100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1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6</xdr:row>
          <xdr:rowOff>228600</xdr:rowOff>
        </xdr:from>
        <xdr:to>
          <xdr:col>1</xdr:col>
          <xdr:colOff>314325</xdr:colOff>
          <xdr:row>8</xdr:row>
          <xdr:rowOff>66675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28</xdr:row>
          <xdr:rowOff>180975</xdr:rowOff>
        </xdr:from>
        <xdr:to>
          <xdr:col>6</xdr:col>
          <xdr:colOff>285750</xdr:colOff>
          <xdr:row>30</xdr:row>
          <xdr:rowOff>19050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1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29</xdr:row>
          <xdr:rowOff>180975</xdr:rowOff>
        </xdr:from>
        <xdr:to>
          <xdr:col>6</xdr:col>
          <xdr:colOff>285750</xdr:colOff>
          <xdr:row>31</xdr:row>
          <xdr:rowOff>19050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1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27</xdr:row>
          <xdr:rowOff>200025</xdr:rowOff>
        </xdr:from>
        <xdr:to>
          <xdr:col>6</xdr:col>
          <xdr:colOff>285750</xdr:colOff>
          <xdr:row>29</xdr:row>
          <xdr:rowOff>28575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1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30</xdr:row>
          <xdr:rowOff>190500</xdr:rowOff>
        </xdr:from>
        <xdr:to>
          <xdr:col>6</xdr:col>
          <xdr:colOff>285750</xdr:colOff>
          <xdr:row>32</xdr:row>
          <xdr:rowOff>19050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1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31</xdr:row>
          <xdr:rowOff>200025</xdr:rowOff>
        </xdr:from>
        <xdr:to>
          <xdr:col>6</xdr:col>
          <xdr:colOff>285750</xdr:colOff>
          <xdr:row>33</xdr:row>
          <xdr:rowOff>28575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1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34</xdr:row>
          <xdr:rowOff>200025</xdr:rowOff>
        </xdr:from>
        <xdr:to>
          <xdr:col>6</xdr:col>
          <xdr:colOff>285750</xdr:colOff>
          <xdr:row>36</xdr:row>
          <xdr:rowOff>28575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1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1</xdr:col>
          <xdr:colOff>285750</xdr:colOff>
          <xdr:row>29</xdr:row>
          <xdr:rowOff>28575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1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28</xdr:row>
          <xdr:rowOff>200025</xdr:rowOff>
        </xdr:from>
        <xdr:to>
          <xdr:col>1</xdr:col>
          <xdr:colOff>285750</xdr:colOff>
          <xdr:row>30</xdr:row>
          <xdr:rowOff>28575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1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29</xdr:row>
          <xdr:rowOff>200025</xdr:rowOff>
        </xdr:from>
        <xdr:to>
          <xdr:col>1</xdr:col>
          <xdr:colOff>285750</xdr:colOff>
          <xdr:row>31</xdr:row>
          <xdr:rowOff>28575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1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32</xdr:row>
          <xdr:rowOff>190500</xdr:rowOff>
        </xdr:from>
        <xdr:to>
          <xdr:col>6</xdr:col>
          <xdr:colOff>285750</xdr:colOff>
          <xdr:row>34</xdr:row>
          <xdr:rowOff>19050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1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33</xdr:row>
          <xdr:rowOff>190500</xdr:rowOff>
        </xdr:from>
        <xdr:to>
          <xdr:col>6</xdr:col>
          <xdr:colOff>285750</xdr:colOff>
          <xdr:row>35</xdr:row>
          <xdr:rowOff>19050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1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200025</xdr:rowOff>
        </xdr:from>
        <xdr:to>
          <xdr:col>1</xdr:col>
          <xdr:colOff>285750</xdr:colOff>
          <xdr:row>33</xdr:row>
          <xdr:rowOff>28575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1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200025</xdr:rowOff>
        </xdr:from>
        <xdr:to>
          <xdr:col>1</xdr:col>
          <xdr:colOff>285750</xdr:colOff>
          <xdr:row>34</xdr:row>
          <xdr:rowOff>28575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1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33</xdr:row>
          <xdr:rowOff>200025</xdr:rowOff>
        </xdr:from>
        <xdr:to>
          <xdr:col>1</xdr:col>
          <xdr:colOff>285750</xdr:colOff>
          <xdr:row>35</xdr:row>
          <xdr:rowOff>28575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1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34</xdr:row>
          <xdr:rowOff>200025</xdr:rowOff>
        </xdr:from>
        <xdr:to>
          <xdr:col>1</xdr:col>
          <xdr:colOff>285750</xdr:colOff>
          <xdr:row>36</xdr:row>
          <xdr:rowOff>28575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1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35</xdr:row>
          <xdr:rowOff>200025</xdr:rowOff>
        </xdr:from>
        <xdr:to>
          <xdr:col>1</xdr:col>
          <xdr:colOff>285750</xdr:colOff>
          <xdr:row>37</xdr:row>
          <xdr:rowOff>28575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1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36</xdr:row>
          <xdr:rowOff>200025</xdr:rowOff>
        </xdr:from>
        <xdr:to>
          <xdr:col>1</xdr:col>
          <xdr:colOff>285750</xdr:colOff>
          <xdr:row>38</xdr:row>
          <xdr:rowOff>28575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1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59662</xdr:colOff>
      <xdr:row>0</xdr:row>
      <xdr:rowOff>66675</xdr:rowOff>
    </xdr:from>
    <xdr:to>
      <xdr:col>3</xdr:col>
      <xdr:colOff>310273</xdr:colOff>
      <xdr:row>0</xdr:row>
      <xdr:rowOff>523875</xdr:rowOff>
    </xdr:to>
    <xdr:pic>
      <xdr:nvPicPr>
        <xdr:cNvPr id="43" name="Picture 1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" t="12361" r="3406" b="11154"/>
        <a:stretch>
          <a:fillRect/>
        </a:stretch>
      </xdr:blipFill>
      <xdr:spPr bwMode="auto">
        <a:xfrm>
          <a:off x="176893" y="66675"/>
          <a:ext cx="161341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19050</xdr:rowOff>
    </xdr:from>
    <xdr:to>
      <xdr:col>2</xdr:col>
      <xdr:colOff>1047750</xdr:colOff>
      <xdr:row>3</xdr:row>
      <xdr:rowOff>85725</xdr:rowOff>
    </xdr:to>
    <xdr:pic>
      <xdr:nvPicPr>
        <xdr:cNvPr id="2" name="Picture 59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209550"/>
          <a:ext cx="15906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52"/>
  <sheetViews>
    <sheetView workbookViewId="0">
      <selection activeCell="C12" sqref="C12"/>
    </sheetView>
  </sheetViews>
  <sheetFormatPr defaultRowHeight="15" x14ac:dyDescent="0.25"/>
  <cols>
    <col min="2" max="2" width="7.42578125" customWidth="1"/>
    <col min="3" max="3" width="80.140625" style="24" customWidth="1"/>
    <col min="4" max="4" width="8.7109375" customWidth="1"/>
  </cols>
  <sheetData>
    <row r="2" spans="2:4" x14ac:dyDescent="0.25">
      <c r="C2" s="22" t="s">
        <v>40</v>
      </c>
    </row>
    <row r="3" spans="2:4" x14ac:dyDescent="0.25">
      <c r="B3" s="21" t="s">
        <v>41</v>
      </c>
      <c r="C3" s="21" t="s">
        <v>60</v>
      </c>
    </row>
    <row r="4" spans="2:4" x14ac:dyDescent="0.25">
      <c r="B4" s="20"/>
      <c r="C4" s="21" t="s">
        <v>51</v>
      </c>
    </row>
    <row r="5" spans="2:4" x14ac:dyDescent="0.25">
      <c r="B5" s="20"/>
      <c r="C5" s="23" t="s">
        <v>42</v>
      </c>
    </row>
    <row r="6" spans="2:4" x14ac:dyDescent="0.25">
      <c r="B6" s="20"/>
      <c r="C6" s="23" t="s">
        <v>43</v>
      </c>
    </row>
    <row r="7" spans="2:4" x14ac:dyDescent="0.25">
      <c r="B7" s="20"/>
      <c r="C7" s="23" t="s">
        <v>44</v>
      </c>
    </row>
    <row r="8" spans="2:4" x14ac:dyDescent="0.25">
      <c r="B8" s="20"/>
      <c r="C8" s="23" t="s">
        <v>45</v>
      </c>
    </row>
    <row r="9" spans="2:4" ht="42.75" x14ac:dyDescent="0.25">
      <c r="B9" s="20"/>
      <c r="C9" s="23" t="s">
        <v>46</v>
      </c>
    </row>
    <row r="10" spans="2:4" x14ac:dyDescent="0.25">
      <c r="B10" s="20"/>
      <c r="C10" s="23" t="s">
        <v>47</v>
      </c>
    </row>
    <row r="11" spans="2:4" x14ac:dyDescent="0.25">
      <c r="B11" s="20"/>
      <c r="C11" s="23" t="s">
        <v>48</v>
      </c>
    </row>
    <row r="12" spans="2:4" ht="28.5" x14ac:dyDescent="0.25">
      <c r="B12" s="20"/>
      <c r="C12" s="23" t="s">
        <v>69</v>
      </c>
    </row>
    <row r="13" spans="2:4" ht="71.25" x14ac:dyDescent="0.25">
      <c r="B13" s="20"/>
      <c r="C13" s="23" t="s">
        <v>49</v>
      </c>
    </row>
    <row r="14" spans="2:4" ht="42.75" x14ac:dyDescent="0.25">
      <c r="C14" s="23" t="s">
        <v>50</v>
      </c>
    </row>
    <row r="15" spans="2:4" ht="28.5" x14ac:dyDescent="0.25">
      <c r="C15" s="23" t="s">
        <v>61</v>
      </c>
    </row>
    <row r="16" spans="2:4" x14ac:dyDescent="0.25">
      <c r="C16" s="25" t="s">
        <v>52</v>
      </c>
      <c r="D16" s="26" t="s">
        <v>38</v>
      </c>
    </row>
    <row r="17" spans="3:4" x14ac:dyDescent="0.25">
      <c r="C17" s="27" t="s">
        <v>32</v>
      </c>
      <c r="D17" s="28" t="s">
        <v>63</v>
      </c>
    </row>
    <row r="18" spans="3:4" x14ac:dyDescent="0.25">
      <c r="C18" s="27" t="s">
        <v>33</v>
      </c>
      <c r="D18" s="28" t="s">
        <v>64</v>
      </c>
    </row>
    <row r="19" spans="3:4" x14ac:dyDescent="0.25">
      <c r="C19" s="27" t="s">
        <v>34</v>
      </c>
      <c r="D19" s="28" t="s">
        <v>65</v>
      </c>
    </row>
    <row r="20" spans="3:4" x14ac:dyDescent="0.25">
      <c r="C20" s="27" t="s">
        <v>35</v>
      </c>
      <c r="D20" s="28" t="s">
        <v>66</v>
      </c>
    </row>
    <row r="21" spans="3:4" x14ac:dyDescent="0.25">
      <c r="C21" s="27" t="s">
        <v>36</v>
      </c>
      <c r="D21" s="28" t="s">
        <v>67</v>
      </c>
    </row>
    <row r="22" spans="3:4" x14ac:dyDescent="0.25">
      <c r="C22" s="27" t="s">
        <v>37</v>
      </c>
      <c r="D22" s="28" t="s">
        <v>68</v>
      </c>
    </row>
    <row r="23" spans="3:4" x14ac:dyDescent="0.25">
      <c r="C23" s="29"/>
      <c r="D23" s="30"/>
    </row>
    <row r="24" spans="3:4" x14ac:dyDescent="0.25">
      <c r="C24" s="31" t="s">
        <v>28</v>
      </c>
      <c r="D24" s="30"/>
    </row>
    <row r="25" spans="3:4" ht="28.5" x14ac:dyDescent="0.25">
      <c r="C25" s="29" t="s">
        <v>221</v>
      </c>
      <c r="D25" s="30"/>
    </row>
    <row r="26" spans="3:4" x14ac:dyDescent="0.25">
      <c r="C26" s="25" t="s">
        <v>222</v>
      </c>
      <c r="D26" s="26" t="s">
        <v>38</v>
      </c>
    </row>
    <row r="27" spans="3:4" ht="42.75" x14ac:dyDescent="0.25">
      <c r="C27" s="27" t="s">
        <v>223</v>
      </c>
      <c r="D27" s="32" t="s">
        <v>63</v>
      </c>
    </row>
    <row r="28" spans="3:4" ht="38.25" customHeight="1" x14ac:dyDescent="0.25">
      <c r="C28" s="27" t="s">
        <v>224</v>
      </c>
      <c r="D28" s="36" t="s">
        <v>64</v>
      </c>
    </row>
    <row r="29" spans="3:4" ht="24" customHeight="1" x14ac:dyDescent="0.25">
      <c r="C29" s="27" t="s">
        <v>225</v>
      </c>
      <c r="D29" s="35" t="s">
        <v>65</v>
      </c>
    </row>
    <row r="30" spans="3:4" ht="42.75" x14ac:dyDescent="0.25">
      <c r="C30" s="27" t="s">
        <v>226</v>
      </c>
      <c r="D30" s="33" t="s">
        <v>66</v>
      </c>
    </row>
    <row r="31" spans="3:4" x14ac:dyDescent="0.25">
      <c r="C31" s="23"/>
    </row>
    <row r="33" spans="2:3" x14ac:dyDescent="0.25">
      <c r="B33" s="21" t="s">
        <v>58</v>
      </c>
      <c r="C33" s="21" t="s">
        <v>214</v>
      </c>
    </row>
    <row r="34" spans="2:3" ht="42.75" x14ac:dyDescent="0.25">
      <c r="C34" s="23" t="s">
        <v>211</v>
      </c>
    </row>
    <row r="35" spans="2:3" x14ac:dyDescent="0.25">
      <c r="C35" s="23" t="s">
        <v>53</v>
      </c>
    </row>
    <row r="36" spans="2:3" ht="29.25" x14ac:dyDescent="0.25">
      <c r="C36" s="23" t="s">
        <v>227</v>
      </c>
    </row>
    <row r="37" spans="2:3" x14ac:dyDescent="0.25">
      <c r="C37" s="23" t="s">
        <v>54</v>
      </c>
    </row>
    <row r="38" spans="2:3" x14ac:dyDescent="0.25">
      <c r="C38" s="23" t="s">
        <v>55</v>
      </c>
    </row>
    <row r="39" spans="2:3" x14ac:dyDescent="0.25">
      <c r="C39" s="23" t="s">
        <v>56</v>
      </c>
    </row>
    <row r="40" spans="2:3" x14ac:dyDescent="0.25">
      <c r="C40" s="23" t="s">
        <v>57</v>
      </c>
    </row>
    <row r="41" spans="2:3" x14ac:dyDescent="0.25">
      <c r="C41" s="23" t="s">
        <v>212</v>
      </c>
    </row>
    <row r="44" spans="2:3" x14ac:dyDescent="0.25">
      <c r="B44" s="21" t="s">
        <v>62</v>
      </c>
      <c r="C44" s="21" t="s">
        <v>213</v>
      </c>
    </row>
    <row r="45" spans="2:3" ht="28.5" x14ac:dyDescent="0.25">
      <c r="C45" s="23" t="s">
        <v>59</v>
      </c>
    </row>
    <row r="46" spans="2:3" x14ac:dyDescent="0.25">
      <c r="C46" s="23" t="s">
        <v>215</v>
      </c>
    </row>
    <row r="47" spans="2:3" x14ac:dyDescent="0.25">
      <c r="C47" s="23" t="s">
        <v>216</v>
      </c>
    </row>
    <row r="48" spans="2:3" x14ac:dyDescent="0.25">
      <c r="C48" s="23" t="s">
        <v>217</v>
      </c>
    </row>
    <row r="49" spans="3:3" x14ac:dyDescent="0.25">
      <c r="C49" s="23" t="s">
        <v>56</v>
      </c>
    </row>
    <row r="50" spans="3:3" x14ac:dyDescent="0.25">
      <c r="C50" s="23" t="s">
        <v>218</v>
      </c>
    </row>
    <row r="51" spans="3:3" x14ac:dyDescent="0.25">
      <c r="C51" s="23" t="s">
        <v>57</v>
      </c>
    </row>
    <row r="52" spans="3:3" x14ac:dyDescent="0.25">
      <c r="C52" s="23" t="s">
        <v>219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66"/>
  <sheetViews>
    <sheetView showGridLines="0" tabSelected="1" topLeftCell="A2" zoomScale="84" zoomScaleNormal="84" zoomScaleSheetLayoutView="55" workbookViewId="0">
      <selection activeCell="H20" sqref="H20:I25"/>
    </sheetView>
  </sheetViews>
  <sheetFormatPr defaultColWidth="8.85546875" defaultRowHeight="11.25" outlineLevelCol="1" x14ac:dyDescent="0.25"/>
  <cols>
    <col min="1" max="1" width="1.7109375" style="1" customWidth="1"/>
    <col min="2" max="2" width="8.7109375" style="1" customWidth="1"/>
    <col min="3" max="4" width="11.7109375" style="1" customWidth="1"/>
    <col min="5" max="5" width="23" style="1" customWidth="1"/>
    <col min="6" max="6" width="20.7109375" style="1" customWidth="1"/>
    <col min="7" max="9" width="26.7109375" style="1" customWidth="1"/>
    <col min="10" max="10" width="1.7109375" style="1" customWidth="1"/>
    <col min="11" max="11" width="11.28515625" style="1" customWidth="1" outlineLevel="1"/>
    <col min="12" max="12" width="16.5703125" style="1" bestFit="1" customWidth="1" outlineLevel="1"/>
    <col min="13" max="17" width="8.85546875" style="1" customWidth="1" outlineLevel="1"/>
    <col min="18" max="18" width="12.5703125" style="1" bestFit="1" customWidth="1" outlineLevel="1"/>
    <col min="19" max="16384" width="8.85546875" style="1"/>
  </cols>
  <sheetData>
    <row r="1" spans="2:12" ht="45" customHeight="1" x14ac:dyDescent="0.25">
      <c r="B1" s="3"/>
      <c r="C1" s="4"/>
      <c r="D1" s="4"/>
      <c r="E1" s="4"/>
      <c r="F1" s="143" t="s">
        <v>266</v>
      </c>
      <c r="G1" s="143"/>
      <c r="H1" s="4"/>
      <c r="I1" s="5" t="s">
        <v>12</v>
      </c>
      <c r="L1" s="75"/>
    </row>
    <row r="2" spans="2:12" ht="20.100000000000001" customHeight="1" x14ac:dyDescent="0.25">
      <c r="B2" s="145" t="s">
        <v>16</v>
      </c>
      <c r="C2" s="145"/>
      <c r="D2" s="145"/>
      <c r="E2" s="145"/>
      <c r="F2" s="98" t="s">
        <v>15</v>
      </c>
      <c r="G2" s="150" t="s">
        <v>268</v>
      </c>
      <c r="H2" s="151"/>
      <c r="I2" s="102" t="str">
        <f>F3&amp;"-PR-0021_A"</f>
        <v>1059-PR-0021_A</v>
      </c>
      <c r="K2" s="75"/>
      <c r="L2" s="75"/>
    </row>
    <row r="3" spans="2:12" ht="20.100000000000001" customHeight="1" x14ac:dyDescent="0.25">
      <c r="B3" s="146" t="s">
        <v>343</v>
      </c>
      <c r="C3" s="147"/>
      <c r="D3" s="147"/>
      <c r="E3" s="148"/>
      <c r="F3" s="50">
        <v>1059</v>
      </c>
      <c r="G3" s="150" t="s">
        <v>298</v>
      </c>
      <c r="H3" s="151"/>
      <c r="I3" s="103">
        <v>43797</v>
      </c>
      <c r="L3" s="75"/>
    </row>
    <row r="4" spans="2:12" ht="20.100000000000001" customHeight="1" x14ac:dyDescent="0.25">
      <c r="B4" s="97" t="str">
        <f>"(BUDGET) PRESUPUESTO DISPONIBLE EN USD ("&amp;H9&amp;")"</f>
        <v>(BUDGET) PRESUPUESTO DISPONIBLE EN USD (FCA AQP)</v>
      </c>
      <c r="C4" s="89"/>
      <c r="D4" s="89"/>
      <c r="E4" s="81"/>
      <c r="F4" s="51">
        <f>SUM(I27)</f>
        <v>0</v>
      </c>
      <c r="G4" s="150" t="s">
        <v>28</v>
      </c>
      <c r="H4" s="151"/>
      <c r="I4" s="34" t="s">
        <v>63</v>
      </c>
      <c r="L4" s="75"/>
    </row>
    <row r="5" spans="2:12" ht="20.100000000000001" customHeight="1" x14ac:dyDescent="0.25">
      <c r="B5" s="144" t="s">
        <v>4</v>
      </c>
      <c r="C5" s="144"/>
      <c r="D5" s="144"/>
      <c r="E5" s="144"/>
      <c r="F5" s="144"/>
      <c r="G5" s="144"/>
      <c r="H5" s="144"/>
      <c r="I5" s="144"/>
      <c r="L5" s="75"/>
    </row>
    <row r="6" spans="2:12" ht="20.100000000000001" customHeight="1" x14ac:dyDescent="0.25">
      <c r="B6" s="149" t="s">
        <v>1</v>
      </c>
      <c r="C6" s="149"/>
      <c r="D6" s="149"/>
      <c r="E6" s="149"/>
      <c r="F6" s="149"/>
      <c r="G6" s="149" t="s">
        <v>6</v>
      </c>
      <c r="H6" s="149"/>
      <c r="I6" s="149"/>
      <c r="L6" s="75"/>
    </row>
    <row r="7" spans="2:12" ht="20.100000000000001" customHeight="1" x14ac:dyDescent="0.25">
      <c r="B7" s="138" t="s">
        <v>269</v>
      </c>
      <c r="C7" s="139"/>
      <c r="D7" s="140"/>
      <c r="E7" s="11" t="s">
        <v>270</v>
      </c>
      <c r="F7" s="11" t="s">
        <v>271</v>
      </c>
      <c r="G7" s="86" t="s">
        <v>272</v>
      </c>
      <c r="H7" s="86" t="s">
        <v>273</v>
      </c>
      <c r="I7" s="94" t="s">
        <v>274</v>
      </c>
      <c r="L7" s="75"/>
    </row>
    <row r="8" spans="2:12" ht="20.100000000000001" customHeight="1" x14ac:dyDescent="0.25">
      <c r="B8" s="6" t="s">
        <v>286</v>
      </c>
      <c r="C8" s="9"/>
      <c r="D8" s="9"/>
      <c r="E8" s="9"/>
      <c r="F8" s="18" t="s">
        <v>14</v>
      </c>
      <c r="G8" s="7" t="s">
        <v>344</v>
      </c>
      <c r="H8" s="105"/>
      <c r="I8" s="80">
        <v>43860</v>
      </c>
      <c r="J8" s="88"/>
      <c r="K8" s="106"/>
      <c r="L8" s="75"/>
    </row>
    <row r="9" spans="2:12" ht="20.100000000000001" customHeight="1" x14ac:dyDescent="0.25">
      <c r="B9" s="99">
        <v>1</v>
      </c>
      <c r="C9" s="47"/>
      <c r="D9" s="93"/>
      <c r="E9" s="52"/>
      <c r="F9" s="53"/>
      <c r="G9" s="7" t="s">
        <v>267</v>
      </c>
      <c r="H9" s="159" t="s">
        <v>345</v>
      </c>
      <c r="I9" s="160"/>
      <c r="J9" s="54"/>
      <c r="K9" s="114"/>
      <c r="L9" s="75"/>
    </row>
    <row r="10" spans="2:12" ht="20.100000000000001" customHeight="1" x14ac:dyDescent="0.25">
      <c r="B10" s="100">
        <v>2</v>
      </c>
      <c r="C10" s="47"/>
      <c r="D10" s="48"/>
      <c r="E10" s="38"/>
      <c r="F10" s="44"/>
      <c r="G10" s="7" t="s">
        <v>275</v>
      </c>
      <c r="H10" s="38" t="s">
        <v>346</v>
      </c>
      <c r="I10" s="43"/>
      <c r="J10" s="54"/>
      <c r="K10" s="114"/>
      <c r="L10" s="75"/>
    </row>
    <row r="11" spans="2:12" ht="20.100000000000001" customHeight="1" x14ac:dyDescent="0.25">
      <c r="B11" s="100">
        <v>3</v>
      </c>
      <c r="C11" s="47"/>
      <c r="D11" s="48"/>
      <c r="E11" s="38"/>
      <c r="F11" s="44"/>
      <c r="G11" s="7"/>
      <c r="H11" s="38"/>
      <c r="I11" s="43"/>
      <c r="J11" s="54"/>
      <c r="K11" s="114"/>
      <c r="L11" s="75"/>
    </row>
    <row r="12" spans="2:12" ht="20.100000000000001" customHeight="1" x14ac:dyDescent="0.25">
      <c r="B12" s="101">
        <v>4</v>
      </c>
      <c r="C12" s="47"/>
      <c r="D12" s="48"/>
      <c r="E12" s="38"/>
      <c r="F12" s="44"/>
      <c r="G12" s="7"/>
      <c r="H12" s="38"/>
      <c r="I12" s="44"/>
      <c r="J12" s="9"/>
      <c r="L12" s="75"/>
    </row>
    <row r="13" spans="2:12" ht="20.100000000000001" customHeight="1" x14ac:dyDescent="0.25">
      <c r="B13" s="6" t="s">
        <v>287</v>
      </c>
      <c r="C13" s="9"/>
      <c r="D13" s="9"/>
      <c r="E13" s="95" t="s">
        <v>276</v>
      </c>
      <c r="F13" s="19" t="s">
        <v>23</v>
      </c>
      <c r="G13" s="7" t="s">
        <v>277</v>
      </c>
      <c r="H13" s="155"/>
      <c r="I13" s="156"/>
      <c r="J13" s="9"/>
      <c r="L13" s="75"/>
    </row>
    <row r="14" spans="2:12" ht="20.100000000000001" customHeight="1" x14ac:dyDescent="0.25">
      <c r="B14" s="157" t="s">
        <v>280</v>
      </c>
      <c r="C14" s="158"/>
      <c r="D14" s="158"/>
      <c r="E14" s="158"/>
      <c r="F14" s="113">
        <f>I3+4</f>
        <v>43801</v>
      </c>
      <c r="G14" s="7"/>
      <c r="H14" s="10"/>
      <c r="I14" s="13"/>
      <c r="J14" s="9"/>
      <c r="L14" s="75"/>
    </row>
    <row r="15" spans="2:12" ht="20.100000000000001" customHeight="1" x14ac:dyDescent="0.25">
      <c r="B15" s="157" t="s">
        <v>29</v>
      </c>
      <c r="C15" s="158"/>
      <c r="D15" s="10"/>
      <c r="E15" s="10"/>
      <c r="F15" s="10"/>
      <c r="G15" s="7" t="s">
        <v>281</v>
      </c>
      <c r="H15" s="169"/>
      <c r="I15" s="170"/>
      <c r="J15" s="9"/>
      <c r="L15" s="75"/>
    </row>
    <row r="16" spans="2:12" ht="20.100000000000001" customHeight="1" x14ac:dyDescent="0.25">
      <c r="B16" s="8" t="s">
        <v>5</v>
      </c>
      <c r="C16" s="14"/>
      <c r="D16" s="161"/>
      <c r="E16" s="161"/>
      <c r="F16" s="162"/>
      <c r="G16" s="8" t="s">
        <v>5</v>
      </c>
      <c r="H16" s="165"/>
      <c r="I16" s="166"/>
      <c r="J16" s="9"/>
      <c r="L16" s="75"/>
    </row>
    <row r="17" spans="1:17" ht="39.950000000000003" customHeight="1" x14ac:dyDescent="0.25">
      <c r="B17" s="15"/>
      <c r="C17" s="16"/>
      <c r="D17" s="163"/>
      <c r="E17" s="163"/>
      <c r="F17" s="164"/>
      <c r="G17" s="15"/>
      <c r="H17" s="167"/>
      <c r="I17" s="168"/>
      <c r="J17" s="9"/>
      <c r="L17" s="75"/>
    </row>
    <row r="18" spans="1:17" ht="20.100000000000001" customHeight="1" x14ac:dyDescent="0.25">
      <c r="B18" s="39" t="s">
        <v>7</v>
      </c>
      <c r="C18" s="40"/>
      <c r="D18" s="40"/>
      <c r="E18" s="40"/>
      <c r="F18" s="40"/>
      <c r="G18" s="40"/>
      <c r="H18" s="40"/>
      <c r="I18" s="41"/>
      <c r="J18" s="9"/>
      <c r="L18" s="75"/>
      <c r="N18" s="46" t="s">
        <v>338</v>
      </c>
    </row>
    <row r="19" spans="1:17" ht="30" customHeight="1" x14ac:dyDescent="0.25">
      <c r="B19" s="46" t="s">
        <v>20</v>
      </c>
      <c r="C19" s="46" t="s">
        <v>21</v>
      </c>
      <c r="D19" s="96" t="s">
        <v>22</v>
      </c>
      <c r="E19" s="46" t="s">
        <v>249</v>
      </c>
      <c r="F19" s="152" t="s">
        <v>0</v>
      </c>
      <c r="G19" s="154"/>
      <c r="H19" s="46" t="s">
        <v>230</v>
      </c>
      <c r="I19" s="46" t="s">
        <v>231</v>
      </c>
      <c r="J19" s="9"/>
      <c r="K19" s="46" t="s">
        <v>235</v>
      </c>
      <c r="L19" s="46" t="s">
        <v>301</v>
      </c>
      <c r="M19" s="152" t="s">
        <v>300</v>
      </c>
      <c r="N19" s="153"/>
      <c r="O19" s="153"/>
      <c r="P19" s="153"/>
      <c r="Q19" s="154"/>
    </row>
    <row r="20" spans="1:17" ht="30" customHeight="1" x14ac:dyDescent="0.25">
      <c r="B20" s="61">
        <v>1</v>
      </c>
      <c r="C20" s="46" t="s">
        <v>86</v>
      </c>
      <c r="D20" s="45">
        <v>12</v>
      </c>
      <c r="E20" s="46" t="s">
        <v>316</v>
      </c>
      <c r="F20" s="141" t="s">
        <v>322</v>
      </c>
      <c r="G20" s="142"/>
      <c r="H20" s="82"/>
      <c r="I20" s="83"/>
      <c r="J20" s="9"/>
      <c r="K20" s="46"/>
      <c r="L20" s="46" t="s">
        <v>328</v>
      </c>
      <c r="M20" s="75"/>
      <c r="N20" s="82">
        <f>H20*3.228</f>
        <v>0</v>
      </c>
      <c r="O20" s="75"/>
      <c r="P20" s="75"/>
      <c r="Q20" s="75"/>
    </row>
    <row r="21" spans="1:17" ht="30" customHeight="1" x14ac:dyDescent="0.25">
      <c r="B21" s="61">
        <v>2</v>
      </c>
      <c r="C21" s="46" t="s">
        <v>86</v>
      </c>
      <c r="D21" s="45">
        <v>12</v>
      </c>
      <c r="E21" s="46" t="s">
        <v>317</v>
      </c>
      <c r="F21" s="141" t="s">
        <v>323</v>
      </c>
      <c r="G21" s="142"/>
      <c r="H21" s="82"/>
      <c r="I21" s="83"/>
      <c r="J21" s="9"/>
      <c r="K21" s="46"/>
      <c r="L21" s="46" t="s">
        <v>329</v>
      </c>
      <c r="M21" s="75"/>
      <c r="N21" s="82">
        <f t="shared" ref="N21:N25" si="0">H21*3.228</f>
        <v>0</v>
      </c>
      <c r="O21" s="75"/>
      <c r="P21" s="75"/>
      <c r="Q21" s="75"/>
    </row>
    <row r="22" spans="1:17" ht="30" customHeight="1" x14ac:dyDescent="0.25">
      <c r="B22" s="61">
        <v>3</v>
      </c>
      <c r="C22" s="46" t="s">
        <v>86</v>
      </c>
      <c r="D22" s="45">
        <v>1</v>
      </c>
      <c r="E22" s="46" t="s">
        <v>318</v>
      </c>
      <c r="F22" s="141" t="s">
        <v>324</v>
      </c>
      <c r="G22" s="142"/>
      <c r="H22" s="82"/>
      <c r="I22" s="83"/>
      <c r="J22" s="9"/>
      <c r="K22" s="46"/>
      <c r="L22" s="46" t="s">
        <v>330</v>
      </c>
      <c r="M22" s="75"/>
      <c r="N22" s="82">
        <f t="shared" si="0"/>
        <v>0</v>
      </c>
      <c r="O22" s="75"/>
      <c r="P22" s="75"/>
      <c r="Q22" s="75"/>
    </row>
    <row r="23" spans="1:17" ht="30" customHeight="1" x14ac:dyDescent="0.25">
      <c r="B23" s="61">
        <v>4</v>
      </c>
      <c r="C23" s="46" t="s">
        <v>86</v>
      </c>
      <c r="D23" s="45">
        <v>1</v>
      </c>
      <c r="E23" s="46" t="s">
        <v>319</v>
      </c>
      <c r="F23" s="141" t="s">
        <v>325</v>
      </c>
      <c r="G23" s="142"/>
      <c r="H23" s="82"/>
      <c r="I23" s="83"/>
      <c r="J23" s="9"/>
      <c r="K23" s="46"/>
      <c r="L23" s="46" t="s">
        <v>331</v>
      </c>
      <c r="M23" s="75"/>
      <c r="N23" s="82">
        <f t="shared" si="0"/>
        <v>0</v>
      </c>
      <c r="O23" s="75"/>
      <c r="P23" s="75"/>
      <c r="Q23" s="75"/>
    </row>
    <row r="24" spans="1:17" ht="30" customHeight="1" x14ac:dyDescent="0.25">
      <c r="B24" s="61">
        <v>5</v>
      </c>
      <c r="C24" s="46" t="s">
        <v>86</v>
      </c>
      <c r="D24" s="45">
        <v>1</v>
      </c>
      <c r="E24" s="46" t="s">
        <v>320</v>
      </c>
      <c r="F24" s="141" t="s">
        <v>326</v>
      </c>
      <c r="G24" s="142"/>
      <c r="H24" s="82"/>
      <c r="I24" s="83"/>
      <c r="J24" s="9"/>
      <c r="K24" s="46"/>
      <c r="L24" s="46" t="s">
        <v>332</v>
      </c>
      <c r="M24" s="75"/>
      <c r="N24" s="82">
        <f t="shared" si="0"/>
        <v>0</v>
      </c>
      <c r="O24" s="75"/>
      <c r="P24" s="75"/>
      <c r="Q24" s="75"/>
    </row>
    <row r="25" spans="1:17" ht="30" customHeight="1" x14ac:dyDescent="0.25">
      <c r="B25" s="61">
        <v>6</v>
      </c>
      <c r="C25" s="46" t="s">
        <v>86</v>
      </c>
      <c r="D25" s="45">
        <v>1</v>
      </c>
      <c r="E25" s="46" t="s">
        <v>321</v>
      </c>
      <c r="F25" s="141" t="s">
        <v>327</v>
      </c>
      <c r="G25" s="142"/>
      <c r="H25" s="82"/>
      <c r="I25" s="83"/>
      <c r="J25" s="9"/>
      <c r="K25" s="46"/>
      <c r="L25" s="46" t="s">
        <v>333</v>
      </c>
      <c r="M25" s="75"/>
      <c r="N25" s="82">
        <f t="shared" si="0"/>
        <v>0</v>
      </c>
      <c r="O25" s="75"/>
      <c r="P25" s="75"/>
      <c r="Q25" s="75"/>
    </row>
    <row r="26" spans="1:17" ht="30" customHeight="1" x14ac:dyDescent="0.25">
      <c r="B26" s="61"/>
      <c r="C26" s="46"/>
      <c r="D26" s="45"/>
      <c r="E26" s="46"/>
      <c r="F26" s="141"/>
      <c r="G26" s="142"/>
      <c r="H26" s="82"/>
      <c r="I26" s="83"/>
      <c r="J26" s="9"/>
      <c r="L26" s="87"/>
    </row>
    <row r="27" spans="1:17" ht="30" customHeight="1" x14ac:dyDescent="0.25">
      <c r="B27" s="42"/>
      <c r="C27" s="46"/>
      <c r="D27" s="42" t="s">
        <v>23</v>
      </c>
      <c r="E27" s="42"/>
      <c r="F27" s="136" t="s">
        <v>30</v>
      </c>
      <c r="G27" s="137"/>
      <c r="H27" s="137"/>
      <c r="I27" s="49">
        <f>SUM(I20:I26)</f>
        <v>0</v>
      </c>
      <c r="L27" s="75"/>
    </row>
    <row r="28" spans="1:17" ht="20.100000000000001" customHeight="1" x14ac:dyDescent="0.25">
      <c r="B28" s="130" t="s">
        <v>10</v>
      </c>
      <c r="C28" s="131"/>
      <c r="D28" s="131"/>
      <c r="E28" s="131"/>
      <c r="F28" s="132"/>
      <c r="G28" s="130" t="s">
        <v>18</v>
      </c>
      <c r="H28" s="131"/>
      <c r="I28" s="132"/>
      <c r="L28" s="75"/>
    </row>
    <row r="29" spans="1:17" ht="20.100000000000001" customHeight="1" x14ac:dyDescent="0.25">
      <c r="A29" s="75"/>
      <c r="B29" s="78"/>
      <c r="C29" s="38" t="s">
        <v>295</v>
      </c>
      <c r="D29" s="38"/>
      <c r="E29" s="38"/>
      <c r="F29" s="104">
        <f>F14</f>
        <v>43801</v>
      </c>
      <c r="G29" s="78" t="s">
        <v>11</v>
      </c>
      <c r="H29" s="38"/>
      <c r="I29" s="44"/>
      <c r="L29" s="75"/>
    </row>
    <row r="30" spans="1:17" ht="20.100000000000001" customHeight="1" x14ac:dyDescent="0.25">
      <c r="A30" s="75"/>
      <c r="B30" s="78"/>
      <c r="C30" s="38" t="s">
        <v>296</v>
      </c>
      <c r="D30" s="38"/>
      <c r="E30" s="38"/>
      <c r="F30" s="44"/>
      <c r="G30" s="78" t="s">
        <v>8</v>
      </c>
      <c r="H30" s="38"/>
      <c r="I30" s="107">
        <f>COUNTIF(ADJUNTOS!B7:B7,"&lt;&gt;"&amp;"")+COUNTIF(ADJUNTOS!B17:B21,"&lt;&gt;"&amp;"")+COUNTIF(ADJUNTOS!B23:B24,"&lt;&gt;"&amp;"")</f>
        <v>5</v>
      </c>
      <c r="J30" s="75"/>
      <c r="K30" s="75"/>
      <c r="L30" s="75"/>
    </row>
    <row r="31" spans="1:17" ht="20.100000000000001" customHeight="1" x14ac:dyDescent="0.25">
      <c r="A31" s="75"/>
      <c r="B31" s="78"/>
      <c r="C31" s="38" t="s">
        <v>297</v>
      </c>
      <c r="D31" s="38"/>
      <c r="E31" s="38"/>
      <c r="F31" s="38"/>
      <c r="G31" s="78" t="s">
        <v>9</v>
      </c>
      <c r="H31" s="38"/>
      <c r="I31" s="109">
        <f>COUNTIF(ADJUNTOS!B9:B15,"&lt;&gt;"&amp;"")</f>
        <v>6</v>
      </c>
      <c r="J31" s="75"/>
      <c r="K31" s="75"/>
      <c r="L31" s="75"/>
    </row>
    <row r="32" spans="1:17" ht="20.100000000000001" customHeight="1" x14ac:dyDescent="0.25">
      <c r="A32" s="75"/>
      <c r="B32" s="133" t="s">
        <v>282</v>
      </c>
      <c r="C32" s="134"/>
      <c r="D32" s="134"/>
      <c r="E32" s="134"/>
      <c r="F32" s="135"/>
      <c r="G32" s="78" t="s">
        <v>256</v>
      </c>
      <c r="H32" s="38"/>
      <c r="I32" s="44"/>
      <c r="J32" s="75"/>
      <c r="K32" s="75"/>
      <c r="L32" s="75"/>
    </row>
    <row r="33" spans="1:12" ht="20.100000000000001" customHeight="1" x14ac:dyDescent="0.25">
      <c r="A33" s="75"/>
      <c r="B33" s="78"/>
      <c r="C33" s="38" t="s">
        <v>283</v>
      </c>
      <c r="D33" s="38"/>
      <c r="E33" s="38"/>
      <c r="F33" s="44"/>
      <c r="G33" s="78" t="s">
        <v>257</v>
      </c>
      <c r="H33" s="38"/>
      <c r="I33" s="44"/>
      <c r="J33" s="75"/>
      <c r="K33" s="75"/>
      <c r="L33" s="75"/>
    </row>
    <row r="34" spans="1:12" ht="20.100000000000001" customHeight="1" x14ac:dyDescent="0.25">
      <c r="A34" s="75"/>
      <c r="B34" s="78"/>
      <c r="C34" s="38" t="s">
        <v>285</v>
      </c>
      <c r="D34" s="38"/>
      <c r="E34" s="38"/>
      <c r="F34" s="44"/>
      <c r="G34" s="78" t="s">
        <v>294</v>
      </c>
      <c r="H34" s="38"/>
      <c r="I34" s="44"/>
      <c r="J34" s="75"/>
      <c r="K34" s="75"/>
      <c r="L34" s="75"/>
    </row>
    <row r="35" spans="1:12" ht="20.100000000000001" customHeight="1" x14ac:dyDescent="0.25">
      <c r="A35" s="75"/>
      <c r="B35" s="78"/>
      <c r="C35" s="38" t="s">
        <v>278</v>
      </c>
      <c r="D35" s="38"/>
      <c r="E35" s="38"/>
      <c r="F35" s="44"/>
      <c r="G35" s="78" t="s">
        <v>19</v>
      </c>
      <c r="H35" s="38"/>
      <c r="I35" s="44"/>
      <c r="J35" s="75"/>
      <c r="K35" s="75"/>
      <c r="L35" s="75"/>
    </row>
    <row r="36" spans="1:12" ht="20.100000000000001" customHeight="1" x14ac:dyDescent="0.25">
      <c r="A36" s="75"/>
      <c r="B36" s="78"/>
      <c r="C36" s="38" t="s">
        <v>279</v>
      </c>
      <c r="D36" s="38"/>
      <c r="E36" s="38"/>
      <c r="F36" s="44"/>
      <c r="G36" s="78" t="s">
        <v>17</v>
      </c>
      <c r="H36" s="38"/>
      <c r="I36" s="44"/>
      <c r="J36" s="75"/>
      <c r="K36" s="75"/>
      <c r="L36" s="75"/>
    </row>
    <row r="37" spans="1:12" ht="20.100000000000001" customHeight="1" x14ac:dyDescent="0.25">
      <c r="A37" s="75"/>
      <c r="B37" s="78"/>
      <c r="C37" s="38" t="s">
        <v>284</v>
      </c>
      <c r="D37" s="38"/>
      <c r="E37" s="38"/>
      <c r="F37" s="38"/>
      <c r="G37" s="78"/>
      <c r="H37" s="38"/>
      <c r="I37" s="44"/>
      <c r="J37" s="75"/>
      <c r="K37" s="75"/>
      <c r="L37" s="75"/>
    </row>
    <row r="38" spans="1:12" ht="20.100000000000001" customHeight="1" x14ac:dyDescent="0.25">
      <c r="A38" s="75"/>
      <c r="B38" s="78"/>
      <c r="C38" s="38" t="s">
        <v>229</v>
      </c>
      <c r="D38" s="112"/>
      <c r="E38" s="112"/>
      <c r="F38" s="38"/>
      <c r="G38" s="78"/>
      <c r="H38" s="38"/>
      <c r="I38" s="44"/>
      <c r="J38" s="75"/>
      <c r="K38" s="75"/>
      <c r="L38" s="75"/>
    </row>
    <row r="39" spans="1:12" ht="6.75" customHeight="1" x14ac:dyDescent="0.25">
      <c r="B39" s="78"/>
      <c r="C39" s="38"/>
      <c r="D39" s="38"/>
      <c r="E39" s="38"/>
      <c r="F39" s="38"/>
      <c r="G39" s="78"/>
      <c r="H39" s="38"/>
      <c r="I39" s="44"/>
      <c r="L39" s="75"/>
    </row>
    <row r="40" spans="1:12" ht="20.100000000000001" customHeight="1" x14ac:dyDescent="0.25">
      <c r="B40" s="130" t="s">
        <v>13</v>
      </c>
      <c r="C40" s="131"/>
      <c r="D40" s="131"/>
      <c r="E40" s="131"/>
      <c r="F40" s="131"/>
      <c r="G40" s="131"/>
      <c r="H40" s="131"/>
      <c r="I40" s="132"/>
      <c r="L40" s="75"/>
    </row>
    <row r="41" spans="1:12" ht="20.100000000000001" customHeight="1" x14ac:dyDescent="0.25">
      <c r="B41" s="8" t="s">
        <v>265</v>
      </c>
      <c r="C41" s="14"/>
      <c r="D41" s="14"/>
      <c r="E41" s="14"/>
      <c r="F41" s="2"/>
      <c r="G41" s="8" t="s">
        <v>289</v>
      </c>
      <c r="H41" s="14"/>
      <c r="I41" s="2"/>
      <c r="L41" s="75"/>
    </row>
    <row r="42" spans="1:12" ht="20.100000000000001" customHeight="1" x14ac:dyDescent="0.25">
      <c r="B42" s="6"/>
      <c r="C42" s="9"/>
      <c r="D42" s="9"/>
      <c r="E42" s="9"/>
      <c r="F42" s="12" t="s">
        <v>342</v>
      </c>
      <c r="G42" s="6"/>
      <c r="H42" s="9"/>
      <c r="I42" s="12" t="s">
        <v>304</v>
      </c>
      <c r="L42" s="75"/>
    </row>
    <row r="43" spans="1:12" ht="20.100000000000001" customHeight="1" x14ac:dyDescent="0.25">
      <c r="B43" s="8" t="s">
        <v>2</v>
      </c>
      <c r="C43" s="14"/>
      <c r="D43" s="14"/>
      <c r="E43" s="14"/>
      <c r="F43" s="2"/>
      <c r="G43" s="8" t="s">
        <v>3</v>
      </c>
      <c r="H43" s="14"/>
      <c r="I43" s="2"/>
      <c r="L43" s="75"/>
    </row>
    <row r="44" spans="1:12" ht="20.100000000000001" customHeight="1" x14ac:dyDescent="0.25">
      <c r="B44" s="6"/>
      <c r="C44" s="9"/>
      <c r="D44" s="9"/>
      <c r="E44" s="9"/>
      <c r="F44" s="12" t="s">
        <v>302</v>
      </c>
      <c r="G44" s="6"/>
      <c r="H44" s="9"/>
      <c r="I44" s="12"/>
      <c r="L44" s="75"/>
    </row>
    <row r="45" spans="1:12" ht="20.100000000000001" customHeight="1" x14ac:dyDescent="0.25">
      <c r="B45" s="8" t="s">
        <v>288</v>
      </c>
      <c r="C45" s="14"/>
      <c r="D45" s="14"/>
      <c r="E45" s="14"/>
      <c r="F45" s="2"/>
      <c r="G45" s="8" t="s">
        <v>290</v>
      </c>
      <c r="H45" s="14"/>
      <c r="I45" s="37"/>
      <c r="L45" s="75"/>
    </row>
    <row r="46" spans="1:12" ht="20.100000000000001" customHeight="1" x14ac:dyDescent="0.25">
      <c r="B46" s="15"/>
      <c r="C46" s="16"/>
      <c r="D46" s="16"/>
      <c r="E46" s="16"/>
      <c r="F46" s="17" t="s">
        <v>303</v>
      </c>
      <c r="G46" s="15"/>
      <c r="H46" s="16"/>
      <c r="I46" s="17" t="s">
        <v>305</v>
      </c>
      <c r="L46" s="75"/>
    </row>
    <row r="47" spans="1:12" ht="15" customHeight="1" x14ac:dyDescent="0.25"/>
    <row r="48" spans="1:12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</sheetData>
  <autoFilter ref="B19:I25">
    <filterColumn colId="4" showButton="0"/>
  </autoFilter>
  <dataConsolidate/>
  <mergeCells count="31">
    <mergeCell ref="M19:Q19"/>
    <mergeCell ref="F19:G19"/>
    <mergeCell ref="H13:I13"/>
    <mergeCell ref="B15:C15"/>
    <mergeCell ref="H9:I9"/>
    <mergeCell ref="D16:F17"/>
    <mergeCell ref="H16:I17"/>
    <mergeCell ref="B14:E14"/>
    <mergeCell ref="H15:I15"/>
    <mergeCell ref="F1:G1"/>
    <mergeCell ref="B5:I5"/>
    <mergeCell ref="B2:E2"/>
    <mergeCell ref="B3:E3"/>
    <mergeCell ref="G6:I6"/>
    <mergeCell ref="B6:F6"/>
    <mergeCell ref="G4:H4"/>
    <mergeCell ref="G3:H3"/>
    <mergeCell ref="G2:H2"/>
    <mergeCell ref="B7:D7"/>
    <mergeCell ref="F26:G26"/>
    <mergeCell ref="F20:G20"/>
    <mergeCell ref="F21:G21"/>
    <mergeCell ref="F24:G24"/>
    <mergeCell ref="F23:G23"/>
    <mergeCell ref="F22:G22"/>
    <mergeCell ref="F25:G25"/>
    <mergeCell ref="B40:I40"/>
    <mergeCell ref="B32:F32"/>
    <mergeCell ref="B28:F28"/>
    <mergeCell ref="G28:I28"/>
    <mergeCell ref="F27:H27"/>
  </mergeCells>
  <conditionalFormatting sqref="I4">
    <cfRule type="containsText" dxfId="3" priority="1" operator="containsText" text="Nivel 3">
      <formula>NOT(ISERROR(SEARCH("Nivel 3",I4)))</formula>
    </cfRule>
    <cfRule type="containsText" dxfId="2" priority="2" operator="containsText" text="Nivel 2">
      <formula>NOT(ISERROR(SEARCH("Nivel 2",I4)))</formula>
    </cfRule>
    <cfRule type="containsText" dxfId="1" priority="3" operator="containsText" text="Nivel 1">
      <formula>NOT(ISERROR(SEARCH("Nivel 1",I4)))</formula>
    </cfRule>
    <cfRule type="containsText" dxfId="0" priority="4" operator="containsText" text="Nivel 0">
      <formula>NOT(ISERROR(SEARCH("Nivel 0",I4)))</formula>
    </cfRule>
  </conditionalFormatting>
  <dataValidations count="1">
    <dataValidation type="list" allowBlank="1" showInputMessage="1" showErrorMessage="1" sqref="C20:C27">
      <formula1>CUENTA</formula1>
    </dataValidation>
  </dataValidations>
  <pageMargins left="0.7" right="0.7" top="0.75" bottom="0.75" header="0.3" footer="0.3"/>
  <pageSetup scale="54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4" r:id="rId4" name="Check Box 50">
              <controlPr defaultSize="0" autoFill="0" autoLine="0" autoPict="0">
                <anchor moveWithCells="1">
                  <from>
                    <xdr:col>4</xdr:col>
                    <xdr:colOff>47625</xdr:colOff>
                    <xdr:row>5</xdr:row>
                    <xdr:rowOff>200025</xdr:rowOff>
                  </from>
                  <to>
                    <xdr:col>4</xdr:col>
                    <xdr:colOff>285750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" name="Check Box 52">
              <controlPr defaultSize="0" autoFill="0" autoLine="0" autoPict="0">
                <anchor moveWithCells="1">
                  <from>
                    <xdr:col>5</xdr:col>
                    <xdr:colOff>85725</xdr:colOff>
                    <xdr:row>5</xdr:row>
                    <xdr:rowOff>180975</xdr:rowOff>
                  </from>
                  <to>
                    <xdr:col>5</xdr:col>
                    <xdr:colOff>285750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6" name="Check Box 53">
              <controlPr defaultSize="0" autoFill="0" autoLine="0" autoPict="0">
                <anchor moveWithCells="1">
                  <from>
                    <xdr:col>6</xdr:col>
                    <xdr:colOff>47625</xdr:colOff>
                    <xdr:row>5</xdr:row>
                    <xdr:rowOff>190500</xdr:rowOff>
                  </from>
                  <to>
                    <xdr:col>6</xdr:col>
                    <xdr:colOff>285750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7" name="Check Box 54">
              <controlPr defaultSize="0" autoFill="0" autoLine="0" autoPict="0">
                <anchor moveWithCells="1">
                  <from>
                    <xdr:col>7</xdr:col>
                    <xdr:colOff>47625</xdr:colOff>
                    <xdr:row>5</xdr:row>
                    <xdr:rowOff>190500</xdr:rowOff>
                  </from>
                  <to>
                    <xdr:col>7</xdr:col>
                    <xdr:colOff>285750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8" name="Check Box 61">
              <controlPr defaultSize="0" autoFill="0" autoLine="0" autoPict="0">
                <anchor moveWithCells="1">
                  <from>
                    <xdr:col>6</xdr:col>
                    <xdr:colOff>47625</xdr:colOff>
                    <xdr:row>28</xdr:row>
                    <xdr:rowOff>180975</xdr:rowOff>
                  </from>
                  <to>
                    <xdr:col>6</xdr:col>
                    <xdr:colOff>285750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9" name="Check Box 62">
              <controlPr defaultSize="0" autoFill="0" autoLine="0" autoPict="0">
                <anchor moveWithCells="1">
                  <from>
                    <xdr:col>6</xdr:col>
                    <xdr:colOff>47625</xdr:colOff>
                    <xdr:row>29</xdr:row>
                    <xdr:rowOff>180975</xdr:rowOff>
                  </from>
                  <to>
                    <xdr:col>6</xdr:col>
                    <xdr:colOff>285750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0" name="Check Box 64">
              <controlPr defaultSize="0" autoFill="0" autoLine="0" autoPict="0">
                <anchor moveWithCells="1">
                  <from>
                    <xdr:col>6</xdr:col>
                    <xdr:colOff>47625</xdr:colOff>
                    <xdr:row>27</xdr:row>
                    <xdr:rowOff>200025</xdr:rowOff>
                  </from>
                  <to>
                    <xdr:col>6</xdr:col>
                    <xdr:colOff>285750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11" name="Check Box 65">
              <controlPr defaultSize="0" autoFill="0" autoLine="0" autoPict="0">
                <anchor moveWithCells="1">
                  <from>
                    <xdr:col>6</xdr:col>
                    <xdr:colOff>47625</xdr:colOff>
                    <xdr:row>30</xdr:row>
                    <xdr:rowOff>190500</xdr:rowOff>
                  </from>
                  <to>
                    <xdr:col>6</xdr:col>
                    <xdr:colOff>285750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12" name="Check Box 66">
              <controlPr defaultSize="0" autoFill="0" autoLine="0" autoPict="0">
                <anchor moveWithCells="1">
                  <from>
                    <xdr:col>6</xdr:col>
                    <xdr:colOff>47625</xdr:colOff>
                    <xdr:row>31</xdr:row>
                    <xdr:rowOff>200025</xdr:rowOff>
                  </from>
                  <to>
                    <xdr:col>6</xdr:col>
                    <xdr:colOff>285750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13" name="Check Box 67">
              <controlPr defaultSize="0" autoFill="0" autoLine="0" autoPict="0">
                <anchor moveWithCells="1">
                  <from>
                    <xdr:col>6</xdr:col>
                    <xdr:colOff>47625</xdr:colOff>
                    <xdr:row>34</xdr:row>
                    <xdr:rowOff>200025</xdr:rowOff>
                  </from>
                  <to>
                    <xdr:col>6</xdr:col>
                    <xdr:colOff>285750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14" name="Check Box 70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1</xdr:col>
                    <xdr:colOff>285750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15" name="Check Box 71">
              <controlPr defaultSize="0" autoFill="0" autoLine="0" autoPict="0">
                <anchor moveWithCells="1">
                  <from>
                    <xdr:col>1</xdr:col>
                    <xdr:colOff>47625</xdr:colOff>
                    <xdr:row>28</xdr:row>
                    <xdr:rowOff>200025</xdr:rowOff>
                  </from>
                  <to>
                    <xdr:col>1</xdr:col>
                    <xdr:colOff>285750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16" name="Check Box 74">
              <controlPr defaultSize="0" autoFill="0" autoLine="0" autoPict="0">
                <anchor moveWithCells="1">
                  <from>
                    <xdr:col>6</xdr:col>
                    <xdr:colOff>47625</xdr:colOff>
                    <xdr:row>32</xdr:row>
                    <xdr:rowOff>190500</xdr:rowOff>
                  </from>
                  <to>
                    <xdr:col>6</xdr:col>
                    <xdr:colOff>285750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17" name="Check Box 75">
              <controlPr defaultSize="0" autoFill="0" autoLine="0" autoPict="0">
                <anchor moveWithCells="1">
                  <from>
                    <xdr:col>6</xdr:col>
                    <xdr:colOff>47625</xdr:colOff>
                    <xdr:row>33</xdr:row>
                    <xdr:rowOff>190500</xdr:rowOff>
                  </from>
                  <to>
                    <xdr:col>6</xdr:col>
                    <xdr:colOff>285750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18" name="Check Box 72">
              <controlPr defaultSize="0" autoFill="0" autoLine="0" autoPict="0">
                <anchor moveWithCells="1">
                  <from>
                    <xdr:col>1</xdr:col>
                    <xdr:colOff>47625</xdr:colOff>
                    <xdr:row>29</xdr:row>
                    <xdr:rowOff>200025</xdr:rowOff>
                  </from>
                  <to>
                    <xdr:col>1</xdr:col>
                    <xdr:colOff>285750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19" name="Check Box 82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200025</xdr:rowOff>
                  </from>
                  <to>
                    <xdr:col>1</xdr:col>
                    <xdr:colOff>285750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20" name="Check Box 98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200025</xdr:rowOff>
                  </from>
                  <to>
                    <xdr:col>1</xdr:col>
                    <xdr:colOff>285750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21" name="Check Box 100">
              <controlPr defaultSize="0" autoFill="0" autoLine="0" autoPict="0">
                <anchor moveWithCells="1">
                  <from>
                    <xdr:col>1</xdr:col>
                    <xdr:colOff>47625</xdr:colOff>
                    <xdr:row>33</xdr:row>
                    <xdr:rowOff>200025</xdr:rowOff>
                  </from>
                  <to>
                    <xdr:col>1</xdr:col>
                    <xdr:colOff>285750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22" name="Check Box 102">
              <controlPr defaultSize="0" autoFill="0" autoLine="0" autoPict="0">
                <anchor moveWithCells="1">
                  <from>
                    <xdr:col>1</xdr:col>
                    <xdr:colOff>47625</xdr:colOff>
                    <xdr:row>34</xdr:row>
                    <xdr:rowOff>200025</xdr:rowOff>
                  </from>
                  <to>
                    <xdr:col>1</xdr:col>
                    <xdr:colOff>285750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23" name="Check Box 104">
              <controlPr defaultSize="0" autoFill="0" autoLine="0" autoPict="0">
                <anchor moveWithCells="1">
                  <from>
                    <xdr:col>1</xdr:col>
                    <xdr:colOff>47625</xdr:colOff>
                    <xdr:row>35</xdr:row>
                    <xdr:rowOff>200025</xdr:rowOff>
                  </from>
                  <to>
                    <xdr:col>1</xdr:col>
                    <xdr:colOff>285750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24" name="Check Box 106">
              <controlPr defaultSize="0" autoFill="0" autoLine="0" autoPict="0">
                <anchor moveWithCells="1">
                  <from>
                    <xdr:col>1</xdr:col>
                    <xdr:colOff>47625</xdr:colOff>
                    <xdr:row>36</xdr:row>
                    <xdr:rowOff>200025</xdr:rowOff>
                  </from>
                  <to>
                    <xdr:col>1</xdr:col>
                    <xdr:colOff>285750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25" name="Check Box 56">
              <controlPr defaultSize="0" autoFill="0" autoLine="0" autoPict="0">
                <anchor moveWithCells="1">
                  <from>
                    <xdr:col>1</xdr:col>
                    <xdr:colOff>85725</xdr:colOff>
                    <xdr:row>5</xdr:row>
                    <xdr:rowOff>200025</xdr:rowOff>
                  </from>
                  <to>
                    <xdr:col>1</xdr:col>
                    <xdr:colOff>323850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26" name="Check Box 57">
              <controlPr defaultSize="0" autoFill="0" autoLine="0" autoPict="0">
                <anchor moveWithCells="1">
                  <from>
                    <xdr:col>1</xdr:col>
                    <xdr:colOff>66675</xdr:colOff>
                    <xdr:row>11</xdr:row>
                    <xdr:rowOff>209550</xdr:rowOff>
                  </from>
                  <to>
                    <xdr:col>1</xdr:col>
                    <xdr:colOff>304800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27" name="Check Box 58">
              <controlPr defaultSize="0" autoFill="0" autoLine="0" autoPict="0">
                <anchor moveWithCells="1">
                  <from>
                    <xdr:col>1</xdr:col>
                    <xdr:colOff>76200</xdr:colOff>
                    <xdr:row>6</xdr:row>
                    <xdr:rowOff>228600</xdr:rowOff>
                  </from>
                  <to>
                    <xdr:col>1</xdr:col>
                    <xdr:colOff>314325</xdr:colOff>
                    <xdr:row>8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INSTRUCCIONES!$D$27:$D$30</xm:f>
          </x14:formula1>
          <xm:sqref>I4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4"/>
  <sheetViews>
    <sheetView showGridLines="0" zoomScaleNormal="100" workbookViewId="0">
      <selection activeCell="D36" sqref="D36"/>
    </sheetView>
  </sheetViews>
  <sheetFormatPr defaultColWidth="9.140625" defaultRowHeight="12" x14ac:dyDescent="0.25"/>
  <cols>
    <col min="1" max="1" width="3.7109375" style="57" customWidth="1"/>
    <col min="2" max="2" width="25.85546875" style="57" bestFit="1" customWidth="1"/>
    <col min="3" max="3" width="4.28515625" style="59" bestFit="1" customWidth="1"/>
    <col min="4" max="4" width="85.28515625" style="57" customWidth="1"/>
    <col min="5" max="5" width="11" style="57" bestFit="1" customWidth="1"/>
    <col min="6" max="16384" width="9.140625" style="57"/>
  </cols>
  <sheetData>
    <row r="2" spans="2:4" x14ac:dyDescent="0.25">
      <c r="B2" s="174" t="s">
        <v>254</v>
      </c>
      <c r="C2" s="174"/>
      <c r="D2" s="56" t="str">
        <f>+RFQ!I2</f>
        <v>1059-PR-0021_A</v>
      </c>
    </row>
    <row r="3" spans="2:4" x14ac:dyDescent="0.25">
      <c r="B3" s="174" t="s">
        <v>15</v>
      </c>
      <c r="C3" s="174"/>
      <c r="D3" s="60">
        <f>+RFQ!F3</f>
        <v>1059</v>
      </c>
    </row>
    <row r="4" spans="2:4" ht="27" customHeight="1" x14ac:dyDescent="0.25">
      <c r="B4" s="175" t="s">
        <v>27</v>
      </c>
      <c r="C4" s="176"/>
      <c r="D4" s="177"/>
    </row>
    <row r="5" spans="2:4" x14ac:dyDescent="0.25">
      <c r="B5" s="58" t="s">
        <v>26</v>
      </c>
      <c r="C5" s="58" t="s">
        <v>24</v>
      </c>
      <c r="D5" s="58" t="s">
        <v>25</v>
      </c>
    </row>
    <row r="6" spans="2:4" ht="14.25" customHeight="1" x14ac:dyDescent="0.25">
      <c r="B6" s="178" t="s">
        <v>228</v>
      </c>
      <c r="C6" s="179"/>
      <c r="D6" s="180"/>
    </row>
    <row r="7" spans="2:4" ht="14.25" customHeight="1" x14ac:dyDescent="0.25">
      <c r="B7" s="76"/>
      <c r="C7" s="77"/>
      <c r="D7" s="79"/>
    </row>
    <row r="8" spans="2:4" ht="14.25" customHeight="1" x14ac:dyDescent="0.25">
      <c r="B8" s="178" t="s">
        <v>250</v>
      </c>
      <c r="C8" s="179"/>
      <c r="D8" s="180"/>
    </row>
    <row r="9" spans="2:4" ht="14.25" customHeight="1" x14ac:dyDescent="0.25">
      <c r="B9" s="76" t="s">
        <v>316</v>
      </c>
      <c r="C9" s="108">
        <v>0</v>
      </c>
      <c r="D9" s="115" t="s">
        <v>322</v>
      </c>
    </row>
    <row r="10" spans="2:4" ht="14.25" customHeight="1" x14ac:dyDescent="0.25">
      <c r="B10" s="76" t="s">
        <v>317</v>
      </c>
      <c r="C10" s="108">
        <v>0</v>
      </c>
      <c r="D10" s="115" t="s">
        <v>323</v>
      </c>
    </row>
    <row r="11" spans="2:4" ht="14.25" customHeight="1" x14ac:dyDescent="0.25">
      <c r="B11" s="76" t="s">
        <v>318</v>
      </c>
      <c r="C11" s="108">
        <v>0</v>
      </c>
      <c r="D11" s="115" t="s">
        <v>324</v>
      </c>
    </row>
    <row r="12" spans="2:4" ht="14.25" customHeight="1" x14ac:dyDescent="0.25">
      <c r="B12" s="76" t="s">
        <v>319</v>
      </c>
      <c r="C12" s="108">
        <v>0</v>
      </c>
      <c r="D12" s="115" t="s">
        <v>325</v>
      </c>
    </row>
    <row r="13" spans="2:4" ht="14.25" customHeight="1" x14ac:dyDescent="0.25">
      <c r="B13" s="76" t="s">
        <v>320</v>
      </c>
      <c r="C13" s="108">
        <v>0</v>
      </c>
      <c r="D13" s="115" t="s">
        <v>326</v>
      </c>
    </row>
    <row r="14" spans="2:4" ht="14.25" customHeight="1" x14ac:dyDescent="0.25">
      <c r="B14" s="76" t="s">
        <v>321</v>
      </c>
      <c r="C14" s="108">
        <v>0</v>
      </c>
      <c r="D14" s="115" t="s">
        <v>327</v>
      </c>
    </row>
    <row r="15" spans="2:4" ht="14.25" customHeight="1" x14ac:dyDescent="0.25">
      <c r="B15" s="76"/>
      <c r="C15" s="77"/>
      <c r="D15" s="79"/>
    </row>
    <row r="16" spans="2:4" ht="14.25" customHeight="1" x14ac:dyDescent="0.25">
      <c r="B16" s="181" t="s">
        <v>251</v>
      </c>
      <c r="C16" s="182"/>
      <c r="D16" s="183"/>
    </row>
    <row r="17" spans="2:4" ht="14.25" customHeight="1" x14ac:dyDescent="0.25">
      <c r="B17" s="76" t="s">
        <v>306</v>
      </c>
      <c r="C17" s="77">
        <v>4</v>
      </c>
      <c r="D17" s="79" t="s">
        <v>307</v>
      </c>
    </row>
    <row r="18" spans="2:4" ht="14.25" customHeight="1" x14ac:dyDescent="0.25">
      <c r="B18" s="76" t="s">
        <v>312</v>
      </c>
      <c r="C18" s="77">
        <v>10</v>
      </c>
      <c r="D18" s="79" t="s">
        <v>313</v>
      </c>
    </row>
    <row r="19" spans="2:4" ht="14.25" customHeight="1" x14ac:dyDescent="0.25">
      <c r="B19" s="76" t="s">
        <v>337</v>
      </c>
      <c r="C19" s="77"/>
      <c r="D19" s="79" t="s">
        <v>335</v>
      </c>
    </row>
    <row r="20" spans="2:4" ht="14.25" customHeight="1" x14ac:dyDescent="0.25">
      <c r="B20" s="76" t="s">
        <v>337</v>
      </c>
      <c r="C20" s="77"/>
      <c r="D20" s="79" t="s">
        <v>336</v>
      </c>
    </row>
    <row r="21" spans="2:4" ht="14.25" customHeight="1" x14ac:dyDescent="0.25">
      <c r="B21" s="76"/>
      <c r="C21" s="77"/>
      <c r="D21" s="79"/>
    </row>
    <row r="22" spans="2:4" ht="14.25" customHeight="1" x14ac:dyDescent="0.25">
      <c r="B22" s="171" t="s">
        <v>252</v>
      </c>
      <c r="C22" s="172"/>
      <c r="D22" s="173"/>
    </row>
    <row r="23" spans="2:4" ht="14.25" customHeight="1" x14ac:dyDescent="0.25">
      <c r="B23" s="76" t="s">
        <v>340</v>
      </c>
      <c r="C23" s="77">
        <v>0</v>
      </c>
      <c r="D23" s="79" t="s">
        <v>339</v>
      </c>
    </row>
    <row r="24" spans="2:4" ht="14.25" customHeight="1" x14ac:dyDescent="0.25">
      <c r="B24" s="76"/>
      <c r="C24" s="77"/>
      <c r="D24" s="79"/>
    </row>
  </sheetData>
  <mergeCells count="7">
    <mergeCell ref="B22:D22"/>
    <mergeCell ref="B2:C2"/>
    <mergeCell ref="B3:C3"/>
    <mergeCell ref="B4:D4"/>
    <mergeCell ref="B8:D8"/>
    <mergeCell ref="B16:D16"/>
    <mergeCell ref="B6:D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34"/>
  <sheetViews>
    <sheetView showGridLines="0" zoomScaleNormal="100" workbookViewId="0">
      <pane xSplit="2" ySplit="6" topLeftCell="C7" activePane="bottomRight" state="frozen"/>
      <selection activeCell="C12" sqref="C12"/>
      <selection pane="topRight" activeCell="C12" sqref="C12"/>
      <selection pane="bottomLeft" activeCell="C12" sqref="C12"/>
      <selection pane="bottomRight" activeCell="J28" sqref="J28"/>
    </sheetView>
  </sheetViews>
  <sheetFormatPr defaultColWidth="9.140625" defaultRowHeight="12" outlineLevelRow="1" x14ac:dyDescent="0.25"/>
  <cols>
    <col min="1" max="1" width="3.7109375" style="57" customWidth="1"/>
    <col min="2" max="2" width="6.42578125" style="59" customWidth="1"/>
    <col min="3" max="3" width="66.140625" style="57" customWidth="1"/>
    <col min="4" max="5" width="15.42578125" style="59" customWidth="1"/>
    <col min="6" max="16384" width="9.140625" style="57"/>
  </cols>
  <sheetData>
    <row r="2" spans="2:5" x14ac:dyDescent="0.25">
      <c r="B2" s="174" t="s">
        <v>232</v>
      </c>
      <c r="C2" s="174"/>
      <c r="D2" s="187" t="str">
        <f>+RFQ!I2</f>
        <v>1059-PR-0021_A</v>
      </c>
      <c r="E2" s="187"/>
    </row>
    <row r="3" spans="2:5" x14ac:dyDescent="0.25">
      <c r="B3" s="174" t="s">
        <v>15</v>
      </c>
      <c r="C3" s="174"/>
      <c r="D3" s="187">
        <f>+RFQ!F3</f>
        <v>1059</v>
      </c>
      <c r="E3" s="187"/>
    </row>
    <row r="4" spans="2:5" x14ac:dyDescent="0.25">
      <c r="B4" s="188" t="s">
        <v>39</v>
      </c>
      <c r="C4" s="189"/>
      <c r="D4" s="190"/>
      <c r="E4" s="191"/>
    </row>
    <row r="5" spans="2:5" ht="34.5" customHeight="1" x14ac:dyDescent="0.25">
      <c r="B5" s="184" t="s">
        <v>31</v>
      </c>
      <c r="C5" s="186" t="s">
        <v>241</v>
      </c>
      <c r="D5" s="62" t="s">
        <v>239</v>
      </c>
      <c r="E5" s="62" t="s">
        <v>240</v>
      </c>
    </row>
    <row r="6" spans="2:5" x14ac:dyDescent="0.25">
      <c r="B6" s="185"/>
      <c r="C6" s="186"/>
      <c r="D6" s="63" t="s">
        <v>238</v>
      </c>
      <c r="E6" s="63" t="s">
        <v>238</v>
      </c>
    </row>
    <row r="7" spans="2:5" x14ac:dyDescent="0.25">
      <c r="B7" s="111">
        <v>1</v>
      </c>
      <c r="C7" s="91" t="s">
        <v>258</v>
      </c>
      <c r="D7" s="111" t="s">
        <v>309</v>
      </c>
      <c r="E7" s="111"/>
    </row>
    <row r="8" spans="2:5" x14ac:dyDescent="0.25">
      <c r="B8" s="111">
        <v>2</v>
      </c>
      <c r="C8" s="91" t="s">
        <v>253</v>
      </c>
      <c r="D8" s="111" t="s">
        <v>334</v>
      </c>
      <c r="E8" s="111"/>
    </row>
    <row r="9" spans="2:5" x14ac:dyDescent="0.25">
      <c r="B9" s="111">
        <v>3</v>
      </c>
      <c r="C9" s="91" t="s">
        <v>311</v>
      </c>
      <c r="D9" s="111" t="s">
        <v>308</v>
      </c>
      <c r="E9" s="111"/>
    </row>
    <row r="10" spans="2:5" x14ac:dyDescent="0.25">
      <c r="B10" s="111">
        <v>4</v>
      </c>
      <c r="C10" s="92" t="s">
        <v>233</v>
      </c>
      <c r="D10" s="111" t="s">
        <v>309</v>
      </c>
      <c r="E10" s="111" t="s">
        <v>310</v>
      </c>
    </row>
    <row r="11" spans="2:5" hidden="1" outlineLevel="1" x14ac:dyDescent="0.25">
      <c r="B11" s="110"/>
      <c r="C11" s="92" t="s">
        <v>236</v>
      </c>
      <c r="D11" s="110"/>
      <c r="E11" s="110"/>
    </row>
    <row r="12" spans="2:5" hidden="1" outlineLevel="1" x14ac:dyDescent="0.25">
      <c r="B12" s="110"/>
      <c r="C12" s="92" t="s">
        <v>237</v>
      </c>
      <c r="D12" s="110"/>
      <c r="E12" s="110"/>
    </row>
    <row r="13" spans="2:5" collapsed="1" x14ac:dyDescent="0.25">
      <c r="B13" s="111">
        <v>5</v>
      </c>
      <c r="C13" s="92" t="s">
        <v>341</v>
      </c>
      <c r="D13" s="111"/>
      <c r="E13" s="111"/>
    </row>
    <row r="14" spans="2:5" hidden="1" outlineLevel="1" x14ac:dyDescent="0.25">
      <c r="B14" s="110"/>
      <c r="C14" s="92" t="s">
        <v>261</v>
      </c>
      <c r="D14" s="110"/>
      <c r="E14" s="110"/>
    </row>
    <row r="15" spans="2:5" hidden="1" outlineLevel="1" x14ac:dyDescent="0.25">
      <c r="B15" s="110"/>
      <c r="C15" s="91" t="s">
        <v>262</v>
      </c>
      <c r="D15" s="110"/>
      <c r="E15" s="110"/>
    </row>
    <row r="16" spans="2:5" collapsed="1" x14ac:dyDescent="0.25">
      <c r="B16" s="111">
        <v>6</v>
      </c>
      <c r="C16" s="92" t="s">
        <v>260</v>
      </c>
      <c r="D16" s="111" t="s">
        <v>315</v>
      </c>
      <c r="E16" s="111"/>
    </row>
    <row r="17" spans="2:5" hidden="1" outlineLevel="1" x14ac:dyDescent="0.25">
      <c r="B17" s="110"/>
      <c r="C17" s="92" t="s">
        <v>259</v>
      </c>
      <c r="D17" s="110"/>
      <c r="E17" s="110"/>
    </row>
    <row r="18" spans="2:5" collapsed="1" x14ac:dyDescent="0.25">
      <c r="B18" s="111">
        <v>7</v>
      </c>
      <c r="C18" s="92" t="s">
        <v>263</v>
      </c>
      <c r="D18" s="111" t="s">
        <v>315</v>
      </c>
      <c r="E18" s="111" t="s">
        <v>310</v>
      </c>
    </row>
    <row r="19" spans="2:5" x14ac:dyDescent="0.25">
      <c r="B19" s="111">
        <v>8</v>
      </c>
      <c r="C19" s="92" t="s">
        <v>234</v>
      </c>
      <c r="D19" s="111" t="s">
        <v>315</v>
      </c>
      <c r="E19" s="111" t="s">
        <v>310</v>
      </c>
    </row>
    <row r="20" spans="2:5" hidden="1" outlineLevel="1" x14ac:dyDescent="0.25">
      <c r="B20" s="110"/>
      <c r="C20" s="92" t="s">
        <v>314</v>
      </c>
      <c r="D20" s="110"/>
      <c r="E20" s="110"/>
    </row>
    <row r="21" spans="2:5" collapsed="1" x14ac:dyDescent="0.25">
      <c r="B21" s="84"/>
      <c r="C21" s="85"/>
      <c r="D21" s="84"/>
      <c r="E21" s="84"/>
    </row>
    <row r="22" spans="2:5" x14ac:dyDescent="0.25">
      <c r="B22" s="84" t="s">
        <v>220</v>
      </c>
      <c r="C22" s="85" t="s">
        <v>242</v>
      </c>
      <c r="D22" s="84"/>
      <c r="E22" s="84"/>
    </row>
    <row r="23" spans="2:5" x14ac:dyDescent="0.25">
      <c r="B23" s="84" t="s">
        <v>243</v>
      </c>
      <c r="C23" s="85" t="s">
        <v>244</v>
      </c>
      <c r="D23" s="90"/>
      <c r="E23" s="84"/>
    </row>
    <row r="24" spans="2:5" x14ac:dyDescent="0.25">
      <c r="B24" s="84" t="s">
        <v>247</v>
      </c>
      <c r="C24" s="64" t="s">
        <v>248</v>
      </c>
      <c r="D24" s="84"/>
      <c r="E24" s="84"/>
    </row>
    <row r="25" spans="2:5" x14ac:dyDescent="0.25">
      <c r="B25" s="84" t="s">
        <v>245</v>
      </c>
      <c r="C25" s="64" t="s">
        <v>246</v>
      </c>
      <c r="D25" s="84"/>
      <c r="E25" s="84"/>
    </row>
    <row r="26" spans="2:5" x14ac:dyDescent="0.25">
      <c r="B26" s="84"/>
      <c r="C26" s="116" t="s">
        <v>255</v>
      </c>
      <c r="D26" s="84"/>
      <c r="E26" s="84"/>
    </row>
    <row r="27" spans="2:5" x14ac:dyDescent="0.25">
      <c r="B27" s="84"/>
      <c r="C27" s="117"/>
      <c r="D27" s="84"/>
      <c r="E27" s="84"/>
    </row>
    <row r="28" spans="2:5" ht="12.75" thickBot="1" x14ac:dyDescent="0.3">
      <c r="B28" s="84"/>
      <c r="C28" s="117"/>
      <c r="D28" s="84"/>
      <c r="E28" s="84"/>
    </row>
    <row r="29" spans="2:5" x14ac:dyDescent="0.25">
      <c r="B29" s="118" t="s">
        <v>292</v>
      </c>
      <c r="C29" s="119"/>
      <c r="D29" s="120"/>
      <c r="E29" s="121"/>
    </row>
    <row r="30" spans="2:5" x14ac:dyDescent="0.25">
      <c r="B30" s="122"/>
      <c r="C30" s="64" t="s">
        <v>264</v>
      </c>
      <c r="D30" s="123"/>
      <c r="E30" s="124"/>
    </row>
    <row r="31" spans="2:5" x14ac:dyDescent="0.25">
      <c r="B31" s="122"/>
      <c r="C31" s="64" t="s">
        <v>299</v>
      </c>
      <c r="D31" s="123"/>
      <c r="E31" s="124"/>
    </row>
    <row r="32" spans="2:5" x14ac:dyDescent="0.25">
      <c r="B32" s="122"/>
      <c r="C32" s="64"/>
      <c r="D32" s="123"/>
      <c r="E32" s="124"/>
    </row>
    <row r="33" spans="2:5" x14ac:dyDescent="0.25">
      <c r="B33" s="122"/>
      <c r="C33" s="125" t="s">
        <v>293</v>
      </c>
      <c r="D33" s="123"/>
      <c r="E33" s="124"/>
    </row>
    <row r="34" spans="2:5" ht="12.75" thickBot="1" x14ac:dyDescent="0.3">
      <c r="B34" s="126"/>
      <c r="C34" s="127" t="s">
        <v>291</v>
      </c>
      <c r="D34" s="128"/>
      <c r="E34" s="129"/>
    </row>
  </sheetData>
  <mergeCells count="8">
    <mergeCell ref="B2:C2"/>
    <mergeCell ref="B3:C3"/>
    <mergeCell ref="B5:B6"/>
    <mergeCell ref="C5:C6"/>
    <mergeCell ref="D2:E2"/>
    <mergeCell ref="B4:C4"/>
    <mergeCell ref="D4:E4"/>
    <mergeCell ref="D3:E3"/>
  </mergeCells>
  <pageMargins left="0.70866141732283472" right="0.70866141732283472" top="0.74803149606299213" bottom="0.74803149606299213" header="0.31496062992125984" footer="0.31496062992125984"/>
  <pageSetup scale="7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9"/>
  <sheetViews>
    <sheetView workbookViewId="0">
      <pane ySplit="4" topLeftCell="A8" activePane="bottomLeft" state="frozen"/>
      <selection activeCell="C12" sqref="C12"/>
      <selection pane="bottomLeft" activeCell="C12" sqref="C12"/>
    </sheetView>
  </sheetViews>
  <sheetFormatPr defaultColWidth="9.140625" defaultRowHeight="12" x14ac:dyDescent="0.2"/>
  <cols>
    <col min="1" max="1" width="3.7109375" style="55" customWidth="1"/>
    <col min="2" max="2" width="20.140625" style="55" customWidth="1"/>
    <col min="3" max="3" width="54.42578125" style="55" customWidth="1"/>
    <col min="4" max="4" width="3.7109375" style="55" customWidth="1"/>
    <col min="5" max="16384" width="9.140625" style="55"/>
  </cols>
  <sheetData>
    <row r="2" spans="2:3" ht="12.75" thickBot="1" x14ac:dyDescent="0.25"/>
    <row r="3" spans="2:3" x14ac:dyDescent="0.2">
      <c r="B3" s="192" t="s">
        <v>70</v>
      </c>
      <c r="C3" s="193"/>
    </row>
    <row r="4" spans="2:3" ht="12.75" thickBot="1" x14ac:dyDescent="0.25">
      <c r="B4" s="65" t="s">
        <v>210</v>
      </c>
      <c r="C4" s="66" t="s">
        <v>71</v>
      </c>
    </row>
    <row r="5" spans="2:3" x14ac:dyDescent="0.2">
      <c r="B5" s="67" t="s">
        <v>72</v>
      </c>
      <c r="C5" s="68" t="s">
        <v>73</v>
      </c>
    </row>
    <row r="6" spans="2:3" x14ac:dyDescent="0.2">
      <c r="B6" s="69" t="s">
        <v>74</v>
      </c>
      <c r="C6" s="70" t="s">
        <v>75</v>
      </c>
    </row>
    <row r="7" spans="2:3" x14ac:dyDescent="0.2">
      <c r="B7" s="71" t="s">
        <v>76</v>
      </c>
      <c r="C7" s="72" t="s">
        <v>77</v>
      </c>
    </row>
    <row r="8" spans="2:3" x14ac:dyDescent="0.2">
      <c r="B8" s="69" t="s">
        <v>78</v>
      </c>
      <c r="C8" s="70" t="s">
        <v>79</v>
      </c>
    </row>
    <row r="9" spans="2:3" x14ac:dyDescent="0.2">
      <c r="B9" s="71" t="s">
        <v>80</v>
      </c>
      <c r="C9" s="72" t="s">
        <v>81</v>
      </c>
    </row>
    <row r="10" spans="2:3" x14ac:dyDescent="0.2">
      <c r="B10" s="69" t="s">
        <v>82</v>
      </c>
      <c r="C10" s="70" t="s">
        <v>83</v>
      </c>
    </row>
    <row r="11" spans="2:3" x14ac:dyDescent="0.2">
      <c r="B11" s="71" t="s">
        <v>84</v>
      </c>
      <c r="C11" s="72" t="s">
        <v>85</v>
      </c>
    </row>
    <row r="12" spans="2:3" x14ac:dyDescent="0.2">
      <c r="B12" s="69" t="s">
        <v>86</v>
      </c>
      <c r="C12" s="70" t="s">
        <v>87</v>
      </c>
    </row>
    <row r="13" spans="2:3" x14ac:dyDescent="0.2">
      <c r="B13" s="71" t="s">
        <v>88</v>
      </c>
      <c r="C13" s="72" t="s">
        <v>89</v>
      </c>
    </row>
    <row r="14" spans="2:3" x14ac:dyDescent="0.2">
      <c r="B14" s="69" t="s">
        <v>90</v>
      </c>
      <c r="C14" s="70" t="s">
        <v>91</v>
      </c>
    </row>
    <row r="15" spans="2:3" x14ac:dyDescent="0.2">
      <c r="B15" s="71" t="s">
        <v>92</v>
      </c>
      <c r="C15" s="72" t="s">
        <v>93</v>
      </c>
    </row>
    <row r="16" spans="2:3" x14ac:dyDescent="0.2">
      <c r="B16" s="69" t="s">
        <v>94</v>
      </c>
      <c r="C16" s="70" t="s">
        <v>95</v>
      </c>
    </row>
    <row r="17" spans="2:3" x14ac:dyDescent="0.2">
      <c r="B17" s="71" t="s">
        <v>96</v>
      </c>
      <c r="C17" s="72" t="s">
        <v>97</v>
      </c>
    </row>
    <row r="18" spans="2:3" x14ac:dyDescent="0.2">
      <c r="B18" s="69" t="s">
        <v>98</v>
      </c>
      <c r="C18" s="70" t="s">
        <v>99</v>
      </c>
    </row>
    <row r="19" spans="2:3" x14ac:dyDescent="0.2">
      <c r="B19" s="71" t="s">
        <v>100</v>
      </c>
      <c r="C19" s="72" t="s">
        <v>101</v>
      </c>
    </row>
    <row r="20" spans="2:3" x14ac:dyDescent="0.2">
      <c r="B20" s="69" t="s">
        <v>102</v>
      </c>
      <c r="C20" s="70" t="s">
        <v>103</v>
      </c>
    </row>
    <row r="21" spans="2:3" x14ac:dyDescent="0.2">
      <c r="B21" s="71" t="s">
        <v>104</v>
      </c>
      <c r="C21" s="72" t="s">
        <v>105</v>
      </c>
    </row>
    <row r="22" spans="2:3" x14ac:dyDescent="0.2">
      <c r="B22" s="69" t="s">
        <v>106</v>
      </c>
      <c r="C22" s="70" t="s">
        <v>107</v>
      </c>
    </row>
    <row r="23" spans="2:3" x14ac:dyDescent="0.2">
      <c r="B23" s="71" t="s">
        <v>108</v>
      </c>
      <c r="C23" s="72" t="s">
        <v>109</v>
      </c>
    </row>
    <row r="24" spans="2:3" x14ac:dyDescent="0.2">
      <c r="B24" s="69" t="s">
        <v>110</v>
      </c>
      <c r="C24" s="70" t="s">
        <v>111</v>
      </c>
    </row>
    <row r="25" spans="2:3" x14ac:dyDescent="0.2">
      <c r="B25" s="71" t="s">
        <v>112</v>
      </c>
      <c r="C25" s="72" t="s">
        <v>113</v>
      </c>
    </row>
    <row r="26" spans="2:3" x14ac:dyDescent="0.2">
      <c r="B26" s="69" t="s">
        <v>114</v>
      </c>
      <c r="C26" s="70" t="s">
        <v>115</v>
      </c>
    </row>
    <row r="27" spans="2:3" x14ac:dyDescent="0.2">
      <c r="B27" s="71" t="s">
        <v>116</v>
      </c>
      <c r="C27" s="72" t="s">
        <v>117</v>
      </c>
    </row>
    <row r="28" spans="2:3" x14ac:dyDescent="0.2">
      <c r="B28" s="69" t="s">
        <v>118</v>
      </c>
      <c r="C28" s="70" t="s">
        <v>119</v>
      </c>
    </row>
    <row r="29" spans="2:3" x14ac:dyDescent="0.2">
      <c r="B29" s="71" t="s">
        <v>120</v>
      </c>
      <c r="C29" s="72" t="s">
        <v>121</v>
      </c>
    </row>
    <row r="30" spans="2:3" x14ac:dyDescent="0.2">
      <c r="B30" s="69" t="s">
        <v>122</v>
      </c>
      <c r="C30" s="70" t="s">
        <v>123</v>
      </c>
    </row>
    <row r="31" spans="2:3" x14ac:dyDescent="0.2">
      <c r="B31" s="71" t="s">
        <v>124</v>
      </c>
      <c r="C31" s="72" t="s">
        <v>125</v>
      </c>
    </row>
    <row r="32" spans="2:3" x14ac:dyDescent="0.2">
      <c r="B32" s="69" t="s">
        <v>126</v>
      </c>
      <c r="C32" s="70" t="s">
        <v>127</v>
      </c>
    </row>
    <row r="33" spans="2:3" x14ac:dyDescent="0.2">
      <c r="B33" s="71" t="s">
        <v>128</v>
      </c>
      <c r="C33" s="72" t="s">
        <v>129</v>
      </c>
    </row>
    <row r="34" spans="2:3" x14ac:dyDescent="0.2">
      <c r="B34" s="69" t="s">
        <v>130</v>
      </c>
      <c r="C34" s="70" t="s">
        <v>131</v>
      </c>
    </row>
    <row r="35" spans="2:3" x14ac:dyDescent="0.2">
      <c r="B35" s="71" t="s">
        <v>132</v>
      </c>
      <c r="C35" s="72" t="s">
        <v>133</v>
      </c>
    </row>
    <row r="36" spans="2:3" x14ac:dyDescent="0.2">
      <c r="B36" s="69" t="s">
        <v>134</v>
      </c>
      <c r="C36" s="70" t="s">
        <v>135</v>
      </c>
    </row>
    <row r="37" spans="2:3" x14ac:dyDescent="0.2">
      <c r="B37" s="71" t="s">
        <v>136</v>
      </c>
      <c r="C37" s="72" t="s">
        <v>137</v>
      </c>
    </row>
    <row r="38" spans="2:3" x14ac:dyDescent="0.2">
      <c r="B38" s="69" t="s">
        <v>138</v>
      </c>
      <c r="C38" s="70" t="s">
        <v>139</v>
      </c>
    </row>
    <row r="39" spans="2:3" x14ac:dyDescent="0.2">
      <c r="B39" s="71" t="s">
        <v>140</v>
      </c>
      <c r="C39" s="72" t="s">
        <v>141</v>
      </c>
    </row>
    <row r="40" spans="2:3" x14ac:dyDescent="0.2">
      <c r="B40" s="69" t="s">
        <v>142</v>
      </c>
      <c r="C40" s="70" t="s">
        <v>143</v>
      </c>
    </row>
    <row r="41" spans="2:3" x14ac:dyDescent="0.2">
      <c r="B41" s="71" t="s">
        <v>144</v>
      </c>
      <c r="C41" s="72" t="s">
        <v>145</v>
      </c>
    </row>
    <row r="42" spans="2:3" x14ac:dyDescent="0.2">
      <c r="B42" s="69" t="s">
        <v>146</v>
      </c>
      <c r="C42" s="70" t="s">
        <v>147</v>
      </c>
    </row>
    <row r="43" spans="2:3" x14ac:dyDescent="0.2">
      <c r="B43" s="71" t="s">
        <v>148</v>
      </c>
      <c r="C43" s="72" t="s">
        <v>149</v>
      </c>
    </row>
    <row r="44" spans="2:3" x14ac:dyDescent="0.2">
      <c r="B44" s="69" t="s">
        <v>150</v>
      </c>
      <c r="C44" s="70" t="s">
        <v>151</v>
      </c>
    </row>
    <row r="45" spans="2:3" x14ac:dyDescent="0.2">
      <c r="B45" s="71" t="s">
        <v>152</v>
      </c>
      <c r="C45" s="72" t="s">
        <v>153</v>
      </c>
    </row>
    <row r="46" spans="2:3" x14ac:dyDescent="0.2">
      <c r="B46" s="69" t="s">
        <v>154</v>
      </c>
      <c r="C46" s="70" t="s">
        <v>155</v>
      </c>
    </row>
    <row r="47" spans="2:3" x14ac:dyDescent="0.2">
      <c r="B47" s="71" t="s">
        <v>156</v>
      </c>
      <c r="C47" s="72" t="s">
        <v>157</v>
      </c>
    </row>
    <row r="48" spans="2:3" x14ac:dyDescent="0.2">
      <c r="B48" s="69" t="s">
        <v>158</v>
      </c>
      <c r="C48" s="70" t="s">
        <v>159</v>
      </c>
    </row>
    <row r="49" spans="2:3" x14ac:dyDescent="0.2">
      <c r="B49" s="71" t="s">
        <v>160</v>
      </c>
      <c r="C49" s="72" t="s">
        <v>161</v>
      </c>
    </row>
    <row r="50" spans="2:3" x14ac:dyDescent="0.2">
      <c r="B50" s="69" t="s">
        <v>162</v>
      </c>
      <c r="C50" s="70" t="s">
        <v>163</v>
      </c>
    </row>
    <row r="51" spans="2:3" x14ac:dyDescent="0.2">
      <c r="B51" s="71" t="s">
        <v>164</v>
      </c>
      <c r="C51" s="72" t="s">
        <v>165</v>
      </c>
    </row>
    <row r="52" spans="2:3" x14ac:dyDescent="0.2">
      <c r="B52" s="69" t="s">
        <v>166</v>
      </c>
      <c r="C52" s="70" t="s">
        <v>167</v>
      </c>
    </row>
    <row r="53" spans="2:3" x14ac:dyDescent="0.2">
      <c r="B53" s="71" t="s">
        <v>168</v>
      </c>
      <c r="C53" s="72" t="s">
        <v>169</v>
      </c>
    </row>
    <row r="54" spans="2:3" x14ac:dyDescent="0.2">
      <c r="B54" s="69" t="s">
        <v>170</v>
      </c>
      <c r="C54" s="70" t="s">
        <v>171</v>
      </c>
    </row>
    <row r="55" spans="2:3" x14ac:dyDescent="0.2">
      <c r="B55" s="71" t="s">
        <v>172</v>
      </c>
      <c r="C55" s="72" t="s">
        <v>173</v>
      </c>
    </row>
    <row r="56" spans="2:3" x14ac:dyDescent="0.2">
      <c r="B56" s="69" t="s">
        <v>174</v>
      </c>
      <c r="C56" s="70" t="s">
        <v>175</v>
      </c>
    </row>
    <row r="57" spans="2:3" x14ac:dyDescent="0.2">
      <c r="B57" s="71" t="s">
        <v>176</v>
      </c>
      <c r="C57" s="72" t="s">
        <v>177</v>
      </c>
    </row>
    <row r="58" spans="2:3" x14ac:dyDescent="0.2">
      <c r="B58" s="69" t="s">
        <v>178</v>
      </c>
      <c r="C58" s="70" t="s">
        <v>179</v>
      </c>
    </row>
    <row r="59" spans="2:3" x14ac:dyDescent="0.2">
      <c r="B59" s="71" t="s">
        <v>180</v>
      </c>
      <c r="C59" s="72" t="s">
        <v>181</v>
      </c>
    </row>
    <row r="60" spans="2:3" x14ac:dyDescent="0.2">
      <c r="B60" s="69" t="s">
        <v>182</v>
      </c>
      <c r="C60" s="70" t="s">
        <v>183</v>
      </c>
    </row>
    <row r="61" spans="2:3" x14ac:dyDescent="0.2">
      <c r="B61" s="71" t="s">
        <v>184</v>
      </c>
      <c r="C61" s="72" t="s">
        <v>185</v>
      </c>
    </row>
    <row r="62" spans="2:3" x14ac:dyDescent="0.2">
      <c r="B62" s="69" t="s">
        <v>186</v>
      </c>
      <c r="C62" s="70" t="s">
        <v>187</v>
      </c>
    </row>
    <row r="63" spans="2:3" x14ac:dyDescent="0.2">
      <c r="B63" s="71" t="s">
        <v>188</v>
      </c>
      <c r="C63" s="72" t="s">
        <v>189</v>
      </c>
    </row>
    <row r="64" spans="2:3" x14ac:dyDescent="0.2">
      <c r="B64" s="69" t="s">
        <v>190</v>
      </c>
      <c r="C64" s="70" t="s">
        <v>191</v>
      </c>
    </row>
    <row r="65" spans="2:3" x14ac:dyDescent="0.2">
      <c r="B65" s="71" t="s">
        <v>192</v>
      </c>
      <c r="C65" s="72" t="s">
        <v>193</v>
      </c>
    </row>
    <row r="66" spans="2:3" x14ac:dyDescent="0.2">
      <c r="B66" s="69" t="s">
        <v>194</v>
      </c>
      <c r="C66" s="70" t="s">
        <v>195</v>
      </c>
    </row>
    <row r="67" spans="2:3" x14ac:dyDescent="0.2">
      <c r="B67" s="71" t="s">
        <v>196</v>
      </c>
      <c r="C67" s="72" t="s">
        <v>197</v>
      </c>
    </row>
    <row r="68" spans="2:3" x14ac:dyDescent="0.2">
      <c r="B68" s="69">
        <v>452</v>
      </c>
      <c r="C68" s="70" t="s">
        <v>198</v>
      </c>
    </row>
    <row r="69" spans="2:3" x14ac:dyDescent="0.2">
      <c r="B69" s="71">
        <v>453</v>
      </c>
      <c r="C69" s="72" t="s">
        <v>199</v>
      </c>
    </row>
    <row r="70" spans="2:3" x14ac:dyDescent="0.2">
      <c r="B70" s="69">
        <v>454</v>
      </c>
      <c r="C70" s="70" t="s">
        <v>200</v>
      </c>
    </row>
    <row r="71" spans="2:3" x14ac:dyDescent="0.2">
      <c r="B71" s="71">
        <v>455</v>
      </c>
      <c r="C71" s="72" t="s">
        <v>201</v>
      </c>
    </row>
    <row r="72" spans="2:3" x14ac:dyDescent="0.2">
      <c r="B72" s="69">
        <v>456</v>
      </c>
      <c r="C72" s="70" t="s">
        <v>202</v>
      </c>
    </row>
    <row r="73" spans="2:3" x14ac:dyDescent="0.2">
      <c r="B73" s="71">
        <v>457</v>
      </c>
      <c r="C73" s="72" t="s">
        <v>203</v>
      </c>
    </row>
    <row r="74" spans="2:3" x14ac:dyDescent="0.2">
      <c r="B74" s="69">
        <v>458</v>
      </c>
      <c r="C74" s="70" t="s">
        <v>204</v>
      </c>
    </row>
    <row r="75" spans="2:3" x14ac:dyDescent="0.2">
      <c r="B75" s="71">
        <v>459</v>
      </c>
      <c r="C75" s="72" t="s">
        <v>205</v>
      </c>
    </row>
    <row r="76" spans="2:3" x14ac:dyDescent="0.2">
      <c r="B76" s="69">
        <v>460</v>
      </c>
      <c r="C76" s="70" t="s">
        <v>206</v>
      </c>
    </row>
    <row r="77" spans="2:3" x14ac:dyDescent="0.2">
      <c r="B77" s="71">
        <v>461</v>
      </c>
      <c r="C77" s="72" t="s">
        <v>207</v>
      </c>
    </row>
    <row r="78" spans="2:3" x14ac:dyDescent="0.2">
      <c r="B78" s="69">
        <v>462</v>
      </c>
      <c r="C78" s="70" t="s">
        <v>208</v>
      </c>
    </row>
    <row r="79" spans="2:3" ht="12.75" thickBot="1" x14ac:dyDescent="0.25">
      <c r="B79" s="73">
        <v>463</v>
      </c>
      <c r="C79" s="74" t="s">
        <v>209</v>
      </c>
    </row>
  </sheetData>
  <mergeCells count="1">
    <mergeCell ref="B3:C3"/>
  </mergeCells>
  <dataValidations count="1">
    <dataValidation type="textLength" errorStyle="information" allowBlank="1" showInputMessage="1" showErrorMessage="1" error="XLBVal:8=Codigo_x000d__x000a_XLBRowCount:3=972_x000d__x000a_XLBColCount:3=2_x000d__x000a_Style:2=1_x000d__x000a_" sqref="B4">
      <formula1>0</formula1>
      <formula2>300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INSTRUCCIONES</vt:lpstr>
      <vt:lpstr>RFQ</vt:lpstr>
      <vt:lpstr>ADJUNTOS</vt:lpstr>
      <vt:lpstr>VDR</vt:lpstr>
      <vt:lpstr>Cuenta de Cargo</vt:lpstr>
      <vt:lpstr>RFQ!Check5</vt:lpstr>
      <vt:lpstr>CUENTA</vt:lpstr>
      <vt:lpstr>RFQ!Print_Area</vt:lpstr>
      <vt:lpstr>SAASA</vt:lpstr>
      <vt:lpstr>RFQ!Text60</vt:lpstr>
    </vt:vector>
  </TitlesOfParts>
  <Company>FLSmidth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Seider</dc:creator>
  <cp:lastModifiedBy>Marco Antonio Figueroa Magallanes</cp:lastModifiedBy>
  <cp:lastPrinted>2019-04-17T03:09:26Z</cp:lastPrinted>
  <dcterms:created xsi:type="dcterms:W3CDTF">2015-06-11T19:35:10Z</dcterms:created>
  <dcterms:modified xsi:type="dcterms:W3CDTF">2019-11-29T19:56:37Z</dcterms:modified>
</cp:coreProperties>
</file>